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相关性矩阵" sheetId="1" state="visible" r:id="rId1"/>
    <sheet name="标题钩子分析" sheetId="2" state="visible" r:id="rId2"/>
    <sheet name="钩子数量分析" sheetId="3" state="visible" r:id="rId3"/>
    <sheet name="标签组合分析" sheetId="4" state="visible" r:id="rId4"/>
    <sheet name="作者持续性分析" sheetId="5" state="visible" r:id="rId5"/>
    <sheet name="发布时间分析" sheetId="6" state="visible" r:id="rId6"/>
    <sheet name="发布时段分析" sheetId="7" state="visible" r:id="rId7"/>
    <sheet name="评论互动深度分析" sheetId="8" state="visible" r:id="rId8"/>
    <sheet name="深度结论汇总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1" customWidth="1" min="10" max="10"/>
  </cols>
  <sheetData>
    <row r="1">
      <c r="A1" s="1" t="inlineStr"/>
      <c r="B1" s="1" t="inlineStr">
        <is>
          <t>视频时长(秒)</t>
        </is>
      </c>
      <c r="C1" s="1" t="inlineStr">
        <is>
          <t>标签数量</t>
        </is>
      </c>
      <c r="D1" s="1" t="inlineStr">
        <is>
          <t>标题长度(字)</t>
        </is>
      </c>
      <c r="E1" s="1" t="inlineStr">
        <is>
          <t>钩子数量</t>
        </is>
      </c>
      <c r="F1" s="1" t="inlineStr">
        <is>
          <t>点赞数</t>
        </is>
      </c>
      <c r="G1" s="1" t="inlineStr">
        <is>
          <t>评论数</t>
        </is>
      </c>
      <c r="H1" s="1" t="inlineStr">
        <is>
          <t>分享数</t>
        </is>
      </c>
      <c r="I1" s="1" t="inlineStr">
        <is>
          <t>收藏数</t>
        </is>
      </c>
      <c r="J1" s="1" t="inlineStr">
        <is>
          <t>互动得分(加权)</t>
        </is>
      </c>
    </row>
    <row r="2">
      <c r="A2" s="2" t="inlineStr">
        <is>
          <t>视频时长(秒)</t>
        </is>
      </c>
      <c r="B2" s="3" t="n">
        <v>1</v>
      </c>
      <c r="C2" s="4" t="n">
        <v>0.142</v>
      </c>
      <c r="D2" s="4" t="n">
        <v>-0.096</v>
      </c>
      <c r="E2" s="4" t="n">
        <v>0.007</v>
      </c>
      <c r="F2" s="3" t="n">
        <v>0.3</v>
      </c>
      <c r="G2" s="5" t="n">
        <v>0.212</v>
      </c>
      <c r="H2" s="5" t="n">
        <v>0.187</v>
      </c>
      <c r="I2" s="5" t="n">
        <v>0.288</v>
      </c>
      <c r="J2" s="5" t="n">
        <v>0.273</v>
      </c>
    </row>
    <row r="3">
      <c r="A3" s="2" t="inlineStr">
        <is>
          <t>标签数量</t>
        </is>
      </c>
      <c r="B3" s="4" t="n">
        <v>0.142</v>
      </c>
      <c r="C3" s="3" t="n">
        <v>1</v>
      </c>
      <c r="D3" s="5" t="n">
        <v>0.167</v>
      </c>
      <c r="E3" s="4" t="n">
        <v>0.121</v>
      </c>
      <c r="F3" s="4" t="n">
        <v>-0.083</v>
      </c>
      <c r="G3" s="4" t="n">
        <v>-0.049</v>
      </c>
      <c r="H3" s="4" t="n">
        <v>-0.052</v>
      </c>
      <c r="I3" s="4" t="n">
        <v>-0.034</v>
      </c>
      <c r="J3" s="4" t="n">
        <v>-0.08</v>
      </c>
    </row>
    <row r="4">
      <c r="A4" s="2" t="inlineStr">
        <is>
          <t>标题长度(字)</t>
        </is>
      </c>
      <c r="B4" s="4" t="n">
        <v>-0.096</v>
      </c>
      <c r="C4" s="5" t="n">
        <v>0.167</v>
      </c>
      <c r="D4" s="3" t="n">
        <v>1</v>
      </c>
      <c r="E4" s="3" t="n">
        <v>0.391</v>
      </c>
      <c r="F4" s="4" t="n">
        <v>-0.128</v>
      </c>
      <c r="G4" s="4" t="n">
        <v>-0.108</v>
      </c>
      <c r="H4" s="4" t="n">
        <v>-0.101</v>
      </c>
      <c r="I4" s="4" t="n">
        <v>-0.098</v>
      </c>
      <c r="J4" s="4" t="n">
        <v>-0.135</v>
      </c>
    </row>
    <row r="5">
      <c r="A5" s="2" t="inlineStr">
        <is>
          <t>钩子数量</t>
        </is>
      </c>
      <c r="B5" s="4" t="n">
        <v>0.007</v>
      </c>
      <c r="C5" s="4" t="n">
        <v>0.121</v>
      </c>
      <c r="D5" s="3" t="n">
        <v>0.391</v>
      </c>
      <c r="E5" s="3" t="n">
        <v>1</v>
      </c>
      <c r="F5" s="4" t="n">
        <v>-0.057</v>
      </c>
      <c r="G5" s="4" t="n">
        <v>-0.038</v>
      </c>
      <c r="H5" s="4" t="n">
        <v>-0.024</v>
      </c>
      <c r="I5" s="4" t="n">
        <v>-0.027</v>
      </c>
      <c r="J5" s="4" t="n">
        <v>-0.049</v>
      </c>
    </row>
    <row r="6">
      <c r="A6" s="2" t="inlineStr">
        <is>
          <t>点赞数</t>
        </is>
      </c>
      <c r="B6" s="3" t="n">
        <v>0.3</v>
      </c>
      <c r="C6" s="4" t="n">
        <v>-0.083</v>
      </c>
      <c r="D6" s="4" t="n">
        <v>-0.128</v>
      </c>
      <c r="E6" s="4" t="n">
        <v>-0.057</v>
      </c>
      <c r="F6" s="3" t="n">
        <v>1</v>
      </c>
      <c r="G6" s="3" t="n">
        <v>0.843</v>
      </c>
      <c r="H6" s="3" t="n">
        <v>0.85</v>
      </c>
      <c r="I6" s="3" t="n">
        <v>0.907</v>
      </c>
      <c r="J6" s="3" t="n">
        <v>0.973</v>
      </c>
    </row>
    <row r="7">
      <c r="A7" s="2" t="inlineStr">
        <is>
          <t>评论数</t>
        </is>
      </c>
      <c r="B7" s="5" t="n">
        <v>0.212</v>
      </c>
      <c r="C7" s="4" t="n">
        <v>-0.049</v>
      </c>
      <c r="D7" s="4" t="n">
        <v>-0.108</v>
      </c>
      <c r="E7" s="4" t="n">
        <v>-0.038</v>
      </c>
      <c r="F7" s="3" t="n">
        <v>0.843</v>
      </c>
      <c r="G7" s="3" t="n">
        <v>1</v>
      </c>
      <c r="H7" s="3" t="n">
        <v>0.822</v>
      </c>
      <c r="I7" s="3" t="n">
        <v>0.803</v>
      </c>
      <c r="J7" s="3" t="n">
        <v>0.849</v>
      </c>
    </row>
    <row r="8">
      <c r="A8" s="2" t="inlineStr">
        <is>
          <t>分享数</t>
        </is>
      </c>
      <c r="B8" s="5" t="n">
        <v>0.187</v>
      </c>
      <c r="C8" s="4" t="n">
        <v>-0.052</v>
      </c>
      <c r="D8" s="4" t="n">
        <v>-0.101</v>
      </c>
      <c r="E8" s="4" t="n">
        <v>-0.024</v>
      </c>
      <c r="F8" s="3" t="n">
        <v>0.85</v>
      </c>
      <c r="G8" s="3" t="n">
        <v>0.822</v>
      </c>
      <c r="H8" s="3" t="n">
        <v>1</v>
      </c>
      <c r="I8" s="3" t="n">
        <v>0.884</v>
      </c>
      <c r="J8" s="3" t="n">
        <v>0.882</v>
      </c>
    </row>
    <row r="9">
      <c r="A9" s="2" t="inlineStr">
        <is>
          <t>收藏数</t>
        </is>
      </c>
      <c r="B9" s="5" t="n">
        <v>0.288</v>
      </c>
      <c r="C9" s="4" t="n">
        <v>-0.034</v>
      </c>
      <c r="D9" s="4" t="n">
        <v>-0.098</v>
      </c>
      <c r="E9" s="4" t="n">
        <v>-0.027</v>
      </c>
      <c r="F9" s="3" t="n">
        <v>0.907</v>
      </c>
      <c r="G9" s="3" t="n">
        <v>0.803</v>
      </c>
      <c r="H9" s="3" t="n">
        <v>0.884</v>
      </c>
      <c r="I9" s="3" t="n">
        <v>1</v>
      </c>
      <c r="J9" s="3" t="n">
        <v>0.891</v>
      </c>
    </row>
    <row r="10">
      <c r="A10" s="2" t="inlineStr">
        <is>
          <t>互动得分(加权)</t>
        </is>
      </c>
      <c r="B10" s="5" t="n">
        <v>0.273</v>
      </c>
      <c r="C10" s="4" t="n">
        <v>-0.08</v>
      </c>
      <c r="D10" s="4" t="n">
        <v>-0.135</v>
      </c>
      <c r="E10" s="4" t="n">
        <v>-0.049</v>
      </c>
      <c r="F10" s="3" t="n">
        <v>0.973</v>
      </c>
      <c r="G10" s="3" t="n">
        <v>0.849</v>
      </c>
      <c r="H10" s="3" t="n">
        <v>0.882</v>
      </c>
      <c r="I10" s="3" t="n">
        <v>0.891</v>
      </c>
      <c r="J10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7" customWidth="1" min="3" max="3"/>
    <col width="7" customWidth="1" min="4" max="4"/>
    <col width="9" customWidth="1" min="5" max="5"/>
    <col width="11" customWidth="1" min="6" max="6"/>
    <col width="7" customWidth="1" min="7" max="7"/>
  </cols>
  <sheetData>
    <row r="1">
      <c r="A1" s="1" t="inlineStr">
        <is>
          <t>钩子类型</t>
        </is>
      </c>
      <c r="B1" s="1" t="inlineStr">
        <is>
          <t>爆款数</t>
        </is>
      </c>
      <c r="C1" s="1" t="inlineStr">
        <is>
          <t>普通数</t>
        </is>
      </c>
      <c r="D1" s="1" t="inlineStr">
        <is>
          <t>总出现</t>
        </is>
      </c>
      <c r="E1" s="1" t="inlineStr">
        <is>
          <t>爆款率(%)</t>
        </is>
      </c>
      <c r="F1" s="1" t="inlineStr">
        <is>
          <t>平均互动</t>
        </is>
      </c>
      <c r="G1" s="1" t="inlineStr">
        <is>
          <t>判断</t>
        </is>
      </c>
    </row>
    <row r="2">
      <c r="A2" s="6" t="inlineStr">
        <is>
          <t>对比反差</t>
        </is>
      </c>
      <c r="B2" s="4" t="n">
        <v>53</v>
      </c>
      <c r="C2" s="4" t="n">
        <v>296</v>
      </c>
      <c r="D2" s="4" t="n">
        <v>349</v>
      </c>
      <c r="E2" s="4" t="n">
        <v>15.2</v>
      </c>
      <c r="F2" s="4" t="n">
        <v>25252.03</v>
      </c>
      <c r="G2" s="4" t="inlineStr">
        <is>
          <t>强力钩子</t>
        </is>
      </c>
    </row>
    <row r="3">
      <c r="A3" s="6" t="inlineStr">
        <is>
          <t>稀缺独家</t>
        </is>
      </c>
      <c r="B3" s="4" t="n">
        <v>16</v>
      </c>
      <c r="C3" s="4" t="n">
        <v>128</v>
      </c>
      <c r="D3" s="4" t="n">
        <v>144</v>
      </c>
      <c r="E3" s="4" t="n">
        <v>11.1</v>
      </c>
      <c r="F3" s="4" t="n">
        <v>27790.8</v>
      </c>
      <c r="G3" s="4" t="inlineStr">
        <is>
          <t>有效钩子</t>
        </is>
      </c>
    </row>
    <row r="4">
      <c r="A4" s="6" t="inlineStr">
        <is>
          <t>数字罗列</t>
        </is>
      </c>
      <c r="B4" s="4" t="n">
        <v>58</v>
      </c>
      <c r="C4" s="4" t="n">
        <v>514</v>
      </c>
      <c r="D4" s="4" t="n">
        <v>572</v>
      </c>
      <c r="E4" s="4" t="n">
        <v>10.1</v>
      </c>
      <c r="F4" s="4" t="n">
        <v>15517.46</v>
      </c>
      <c r="G4" s="4" t="inlineStr">
        <is>
          <t>有效钩子</t>
        </is>
      </c>
    </row>
    <row r="5">
      <c r="A5" s="6" t="inlineStr">
        <is>
          <t>如何教你</t>
        </is>
      </c>
      <c r="B5" s="4" t="n">
        <v>34</v>
      </c>
      <c r="C5" s="4" t="n">
        <v>368</v>
      </c>
      <c r="D5" s="4" t="n">
        <v>402</v>
      </c>
      <c r="E5" s="4" t="n">
        <v>8.5</v>
      </c>
      <c r="F5" s="4" t="n">
        <v>10447.68</v>
      </c>
      <c r="G5" s="4" t="inlineStr">
        <is>
          <t>弱效</t>
        </is>
      </c>
    </row>
    <row r="6">
      <c r="A6" s="6" t="inlineStr">
        <is>
          <t>疑问句</t>
        </is>
      </c>
      <c r="B6" s="4" t="n">
        <v>103</v>
      </c>
      <c r="C6" s="4" t="n">
        <v>1202</v>
      </c>
      <c r="D6" s="4" t="n">
        <v>1305</v>
      </c>
      <c r="E6" s="4" t="n">
        <v>7.9</v>
      </c>
      <c r="F6" s="4" t="n">
        <v>12607.97</v>
      </c>
      <c r="G6" s="4" t="inlineStr">
        <is>
          <t>弱效</t>
        </is>
      </c>
    </row>
    <row r="7">
      <c r="A7" s="6" t="inlineStr">
        <is>
          <t>情绪强烈</t>
        </is>
      </c>
      <c r="B7" s="4" t="n">
        <v>3</v>
      </c>
      <c r="C7" s="4" t="n">
        <v>41</v>
      </c>
      <c r="D7" s="4" t="n">
        <v>44</v>
      </c>
      <c r="E7" s="4" t="n">
        <v>6.8</v>
      </c>
      <c r="F7" s="4" t="n">
        <v>14843.84</v>
      </c>
      <c r="G7" s="4" t="inlineStr">
        <is>
          <t>弱效</t>
        </is>
      </c>
    </row>
    <row r="8">
      <c r="A8" s="6" t="inlineStr">
        <is>
          <t>时间紧迫</t>
        </is>
      </c>
      <c r="B8" s="4" t="n">
        <v>8</v>
      </c>
      <c r="C8" s="4" t="n">
        <v>142</v>
      </c>
      <c r="D8" s="4" t="n">
        <v>150</v>
      </c>
      <c r="E8" s="4" t="n">
        <v>5.3</v>
      </c>
      <c r="F8" s="4" t="n">
        <v>9664.23</v>
      </c>
      <c r="G8" s="4" t="inlineStr">
        <is>
          <t>弱效</t>
        </is>
      </c>
    </row>
    <row r="9">
      <c r="A9" s="6" t="inlineStr">
        <is>
          <t>警告避坑</t>
        </is>
      </c>
      <c r="B9" s="4" t="n">
        <v>9</v>
      </c>
      <c r="C9" s="4" t="n">
        <v>206</v>
      </c>
      <c r="D9" s="4" t="n">
        <v>215</v>
      </c>
      <c r="E9" s="4" t="n">
        <v>4.2</v>
      </c>
      <c r="F9" s="4" t="n">
        <v>7286.63</v>
      </c>
      <c r="G9" s="4" t="inlineStr">
        <is>
          <t>无效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9" customWidth="1" min="4" max="4"/>
    <col width="11" customWidth="1" min="5" max="5"/>
    <col width="50" customWidth="1" min="6" max="6"/>
  </cols>
  <sheetData>
    <row r="1">
      <c r="A1" s="1" t="inlineStr">
        <is>
          <t>钩子数量</t>
        </is>
      </c>
      <c r="B1" s="1" t="inlineStr">
        <is>
          <t>视频数</t>
        </is>
      </c>
      <c r="C1" s="1" t="inlineStr">
        <is>
          <t>爆款数</t>
        </is>
      </c>
      <c r="D1" s="1" t="inlineStr">
        <is>
          <t>爆款率(%)</t>
        </is>
      </c>
      <c r="E1" s="1" t="inlineStr">
        <is>
          <t>平均互动</t>
        </is>
      </c>
      <c r="F1" s="1" t="inlineStr">
        <is>
          <t>典型标题举例</t>
        </is>
      </c>
    </row>
    <row r="2">
      <c r="A2" s="4" t="n">
        <v>0</v>
      </c>
      <c r="B2" s="4" t="n">
        <v>2747</v>
      </c>
      <c r="C2" s="4" t="n">
        <v>285</v>
      </c>
      <c r="D2" s="4" t="n">
        <v>10.4</v>
      </c>
      <c r="E2" s="4" t="n">
        <v>19861.36</v>
      </c>
      <c r="F2" s="7" t="inlineStr">
        <is>
          <t>人是干不赢酒的   下次想看我带什么来挑战嘟嘟的，评论区告诉我#非洲原始部落 #非洲原始部落真实生活</t>
        </is>
      </c>
    </row>
    <row r="3">
      <c r="A3" s="4" t="n">
        <v>1</v>
      </c>
      <c r="B3" s="4" t="n">
        <v>1364</v>
      </c>
      <c r="C3" s="4" t="n">
        <v>143</v>
      </c>
      <c r="D3" s="4" t="n">
        <v>10.5</v>
      </c>
      <c r="E3" s="4" t="n">
        <v>20466.01</v>
      </c>
      <c r="F3" s="7" t="inlineStr">
        <is>
          <t>独家视频！彭丽媛同非洲国家领导人配偶共同出席中非妇女教育主题会议。</t>
        </is>
      </c>
    </row>
    <row r="4">
      <c r="A4" s="4" t="n">
        <v>2</v>
      </c>
      <c r="B4" s="4" t="n">
        <v>610</v>
      </c>
      <c r="C4" s="4" t="n">
        <v>44</v>
      </c>
      <c r="D4" s="4" t="n">
        <v>7.2</v>
      </c>
      <c r="E4" s="4" t="n">
        <v>10619.92</v>
      </c>
      <c r="F4" s="7" t="inlineStr">
        <is>
          <t>卢旺达：照搬中国模式少走500年弯路 #卢旺达 #中国模式 #社会主义 #万万没想到 #搞笑</t>
        </is>
      </c>
    </row>
    <row r="5">
      <c r="A5" s="4" t="n">
        <v>3</v>
      </c>
      <c r="B5" s="4" t="n">
        <v>127</v>
      </c>
      <c r="C5" s="4" t="n">
        <v>15</v>
      </c>
      <c r="D5" s="4" t="n">
        <v>11.8</v>
      </c>
      <c r="E5" s="4" t="n">
        <v>10949.32</v>
      </c>
      <c r="F5" s="7" t="inlineStr">
        <is>
          <t>一个提前了56年的人类历史，是如何做到的？</t>
        </is>
      </c>
    </row>
    <row r="6">
      <c r="A6" s="4" t="n">
        <v>4</v>
      </c>
      <c r="B6" s="4" t="n">
        <v>34</v>
      </c>
      <c r="C6" s="4" t="n">
        <v>2</v>
      </c>
      <c r="D6" s="4" t="n">
        <v>5.9</v>
      </c>
      <c r="E6" s="4" t="n">
        <v>6824.76</v>
      </c>
      <c r="F6" s="7" t="inlineStr">
        <is>
          <t>杨一面对面｜揭秘身价过亿 企业一把手的生活 财富自由的董事长，每天都在干什么？
网吧居然还有企业家用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6" customWidth="1" min="4" max="4"/>
    <col width="9" customWidth="1" min="5" max="5"/>
  </cols>
  <sheetData>
    <row r="1">
      <c r="A1" s="1" t="inlineStr">
        <is>
          <t>排名</t>
        </is>
      </c>
      <c r="B1" s="1" t="inlineStr">
        <is>
          <t>标签组合</t>
        </is>
      </c>
      <c r="C1" s="1" t="inlineStr">
        <is>
          <t>出现次数</t>
        </is>
      </c>
      <c r="D1" s="1" t="inlineStr">
        <is>
          <t>爆款数</t>
        </is>
      </c>
      <c r="E1" s="1" t="inlineStr">
        <is>
          <t>爆款率(%)</t>
        </is>
      </c>
    </row>
    <row r="2">
      <c r="A2" s="4" t="n">
        <v>1</v>
      </c>
      <c r="B2" s="7" t="inlineStr">
        <is>
          <t>出国打工 + 建筑工人 + 援建非洲 + 记录在工地上的点点滴滴</t>
        </is>
      </c>
      <c r="C2" s="4" t="n">
        <v>3</v>
      </c>
      <c r="D2" s="4" t="n">
        <v>3</v>
      </c>
      <c r="E2" s="4" t="n">
        <v>100</v>
      </c>
    </row>
    <row r="3">
      <c r="A3" s="4" t="n">
        <v>2</v>
      </c>
      <c r="B3" s="7" t="inlineStr">
        <is>
          <t>卢旺达 + 搞笑 + 美食</t>
        </is>
      </c>
      <c r="C3" s="4" t="n">
        <v>3</v>
      </c>
      <c r="D3" s="4" t="n">
        <v>3</v>
      </c>
      <c r="E3" s="4" t="n">
        <v>100</v>
      </c>
    </row>
    <row r="4">
      <c r="A4" s="4" t="n">
        <v>3</v>
      </c>
      <c r="B4" s="7" t="inlineStr">
        <is>
          <t>万万没想到 + 中国模式 + 卢旺达 + 搞笑</t>
        </is>
      </c>
      <c r="C4" s="4" t="n">
        <v>3</v>
      </c>
      <c r="D4" s="4" t="n">
        <v>3</v>
      </c>
      <c r="E4" s="4" t="n">
        <v>100</v>
      </c>
    </row>
    <row r="5">
      <c r="A5" s="4" t="n">
        <v>4</v>
      </c>
      <c r="B5" s="7" t="inlineStr">
        <is>
          <t>交换世界计划 + 我们的精选 + 旅行 + 行走方探长</t>
        </is>
      </c>
      <c r="C5" s="4" t="n">
        <v>4</v>
      </c>
      <c r="D5" s="4" t="n">
        <v>4</v>
      </c>
      <c r="E5" s="4" t="n">
        <v>100</v>
      </c>
    </row>
    <row r="6">
      <c r="A6" s="4" t="n">
        <v>5</v>
      </c>
      <c r="B6" s="7" t="inlineStr">
        <is>
          <t>万万没想到 + 中国 + 内容启发搜索 + 卢旺达</t>
        </is>
      </c>
      <c r="C6" s="4" t="n">
        <v>3</v>
      </c>
      <c r="D6" s="4" t="n">
        <v>3</v>
      </c>
      <c r="E6" s="4" t="n">
        <v>100</v>
      </c>
    </row>
    <row r="7">
      <c r="A7" s="4" t="n">
        <v>6</v>
      </c>
      <c r="B7" s="7" t="inlineStr">
        <is>
          <t>交换世界计划 + 非洲小钟</t>
        </is>
      </c>
      <c r="C7" s="4" t="n">
        <v>3</v>
      </c>
      <c r="D7" s="4" t="n">
        <v>3</v>
      </c>
      <c r="E7" s="4" t="n">
        <v>100</v>
      </c>
    </row>
    <row r="8">
      <c r="A8" s="4" t="n">
        <v>7</v>
      </c>
      <c r="B8" s="7" t="inlineStr">
        <is>
          <t>便利店 + 创业 + 实体店引流</t>
        </is>
      </c>
      <c r="C8" s="4" t="n">
        <v>3</v>
      </c>
      <c r="D8" s="4" t="n">
        <v>3</v>
      </c>
      <c r="E8" s="4" t="n">
        <v>100</v>
      </c>
    </row>
    <row r="9">
      <c r="A9" s="4" t="n">
        <v>8</v>
      </c>
      <c r="B9" s="7" t="inlineStr">
        <is>
          <t>出海 + 创业 + 生意避坑指南 + 非洲</t>
        </is>
      </c>
      <c r="C9" s="4" t="n">
        <v>5</v>
      </c>
      <c r="D9" s="4" t="n">
        <v>5</v>
      </c>
      <c r="E9" s="4" t="n">
        <v>100</v>
      </c>
    </row>
    <row r="10">
      <c r="A10" s="4" t="n">
        <v>9</v>
      </c>
      <c r="B10" s="7" t="inlineStr">
        <is>
          <t>创业路上的我们 + 加纳 + 海外创业 + 海外投资</t>
        </is>
      </c>
      <c r="C10" s="4" t="n">
        <v>4</v>
      </c>
      <c r="D10" s="4" t="n">
        <v>4</v>
      </c>
      <c r="E10" s="4" t="n">
        <v>100</v>
      </c>
    </row>
    <row r="11">
      <c r="A11" s="4" t="n">
        <v>10</v>
      </c>
      <c r="B11" s="7" t="inlineStr">
        <is>
          <t>抖音精选计划 + 纪录片解说 + 重生</t>
        </is>
      </c>
      <c r="C11" s="4" t="n">
        <v>3</v>
      </c>
      <c r="D11" s="4" t="n">
        <v>3</v>
      </c>
      <c r="E11" s="4" t="n">
        <v>100</v>
      </c>
    </row>
    <row r="12">
      <c r="A12" s="4" t="n">
        <v>11</v>
      </c>
      <c r="B12" s="7" t="inlineStr">
        <is>
          <t>2026年美加墨世界杯 + 世界杯 + 世界杯进行曲</t>
        </is>
      </c>
      <c r="C12" s="4" t="n">
        <v>3</v>
      </c>
      <c r="D12" s="4" t="n">
        <v>3</v>
      </c>
      <c r="E12" s="4" t="n">
        <v>100</v>
      </c>
    </row>
    <row r="13">
      <c r="A13" s="4" t="n">
        <v>12</v>
      </c>
      <c r="B13" s="7" t="inlineStr">
        <is>
          <t>我们的精选 + 津巴布韦 + 稀土 + 钱说</t>
        </is>
      </c>
      <c r="C13" s="4" t="n">
        <v>3</v>
      </c>
      <c r="D13" s="4" t="n">
        <v>3</v>
      </c>
      <c r="E13" s="4" t="n">
        <v>100</v>
      </c>
    </row>
    <row r="14">
      <c r="A14" s="4" t="n">
        <v>13</v>
      </c>
      <c r="B14" s="7" t="inlineStr">
        <is>
          <t>04 + 休学旅行 + 大学生 + 大学逆袭人生计划</t>
        </is>
      </c>
      <c r="C14" s="4" t="n">
        <v>3</v>
      </c>
      <c r="D14" s="4" t="n">
        <v>3</v>
      </c>
      <c r="E14" s="4" t="n">
        <v>100</v>
      </c>
    </row>
    <row r="15">
      <c r="A15" s="4" t="n">
        <v>14</v>
      </c>
      <c r="B15" s="7" t="inlineStr">
        <is>
          <t>中国企业 + 能源博弈 + 零基础看懂全球 + 零距离看懂财经</t>
        </is>
      </c>
      <c r="C15" s="4" t="n">
        <v>3</v>
      </c>
      <c r="D15" s="4" t="n">
        <v>3</v>
      </c>
      <c r="E15" s="4" t="n">
        <v>100</v>
      </c>
    </row>
    <row r="16">
      <c r="A16" s="4" t="n">
        <v>15</v>
      </c>
      <c r="B16" s="7" t="inlineStr">
        <is>
          <t>万万没想到 + 中国 + 卢旺达</t>
        </is>
      </c>
      <c r="C16" s="4" t="n">
        <v>4</v>
      </c>
      <c r="D16" s="4" t="n">
        <v>3</v>
      </c>
      <c r="E16" s="4" t="n">
        <v>75</v>
      </c>
    </row>
    <row r="17">
      <c r="A17" s="4" t="n">
        <v>16</v>
      </c>
      <c r="B17" s="7" t="inlineStr">
        <is>
          <t>加纳 + 华人华侨 + 小商品出海 + 百货店</t>
        </is>
      </c>
      <c r="C17" s="4" t="n">
        <v>8</v>
      </c>
      <c r="D17" s="4" t="n">
        <v>6</v>
      </c>
      <c r="E17" s="4" t="n">
        <v>75</v>
      </c>
    </row>
    <row r="18">
      <c r="A18" s="4" t="n">
        <v>17</v>
      </c>
      <c r="B18" s="7" t="inlineStr">
        <is>
          <t>千万生活dou来拍 + 旅行vlog + 津巴布韦 + 环球旅行</t>
        </is>
      </c>
      <c r="C18" s="4" t="n">
        <v>3</v>
      </c>
      <c r="D18" s="4" t="n">
        <v>2</v>
      </c>
      <c r="E18" s="4" t="n">
        <v>66.7</v>
      </c>
    </row>
    <row r="19">
      <c r="A19" s="4" t="n">
        <v>18</v>
      </c>
      <c r="B19" s="7" t="inlineStr">
        <is>
          <t>万万没想到 + 卢旺达 + 搞笑 + 美食</t>
        </is>
      </c>
      <c r="C19" s="4" t="n">
        <v>3</v>
      </c>
      <c r="D19" s="4" t="n">
        <v>2</v>
      </c>
      <c r="E19" s="4" t="n">
        <v>66.7</v>
      </c>
    </row>
    <row r="20">
      <c r="A20" s="4" t="n">
        <v>19</v>
      </c>
      <c r="B20" s="7" t="inlineStr">
        <is>
          <t>全球创作者计划 + 时代的荣耀 + 零基础看懂全球</t>
        </is>
      </c>
      <c r="C20" s="4" t="n">
        <v>3</v>
      </c>
      <c r="D20" s="4" t="n">
        <v>2</v>
      </c>
      <c r="E20" s="4" t="n">
        <v>66.7</v>
      </c>
    </row>
    <row r="21">
      <c r="A21" s="4" t="n">
        <v>20</v>
      </c>
      <c r="B21" s="7" t="inlineStr">
        <is>
          <t>津巴布韦 + 非洲生活</t>
        </is>
      </c>
      <c r="C21" s="4" t="n">
        <v>3</v>
      </c>
      <c r="D21" s="4" t="n">
        <v>2</v>
      </c>
      <c r="E21" s="4" t="n">
        <v>66.7</v>
      </c>
    </row>
    <row r="22">
      <c r="A22" s="4" t="n">
        <v>21</v>
      </c>
      <c r="B22" s="7" t="inlineStr">
        <is>
          <t>万万没想到 + 中式 + 卢旺达</t>
        </is>
      </c>
      <c r="C22" s="4" t="n">
        <v>6</v>
      </c>
      <c r="D22" s="4" t="n">
        <v>3</v>
      </c>
      <c r="E22" s="4" t="n">
        <v>50</v>
      </c>
    </row>
    <row r="23">
      <c r="A23" s="4" t="n">
        <v>22</v>
      </c>
      <c r="B23" s="7" t="inlineStr">
        <is>
          <t>万万没想到 + 中国 + 卢旺达 + 美食</t>
        </is>
      </c>
      <c r="C23" s="4" t="n">
        <v>6</v>
      </c>
      <c r="D23" s="4" t="n">
        <v>3</v>
      </c>
      <c r="E23" s="4" t="n">
        <v>50</v>
      </c>
    </row>
    <row r="24">
      <c r="A24" s="4" t="n">
        <v>23</v>
      </c>
      <c r="B24" s="7" t="inlineStr">
        <is>
          <t>津巴布韦 + 津龙</t>
        </is>
      </c>
      <c r="C24" s="4" t="n">
        <v>4</v>
      </c>
      <c r="D24" s="4" t="n">
        <v>2</v>
      </c>
      <c r="E24" s="4" t="n">
        <v>50</v>
      </c>
    </row>
    <row r="25">
      <c r="A25" s="4" t="n">
        <v>24</v>
      </c>
      <c r="B25" s="7" t="inlineStr">
        <is>
          <t>万万没想到 + 卢旺达 + 抄作业</t>
        </is>
      </c>
      <c r="C25" s="4" t="n">
        <v>8</v>
      </c>
      <c r="D25" s="4" t="n">
        <v>3</v>
      </c>
      <c r="E25" s="4" t="n">
        <v>37.5</v>
      </c>
    </row>
    <row r="26">
      <c r="A26" s="4" t="n">
        <v>25</v>
      </c>
      <c r="B26" s="7" t="inlineStr">
        <is>
          <t>中商海外产业出海平台 + 出海非洲 + 南非 + 非洲</t>
        </is>
      </c>
      <c r="C26" s="4" t="n">
        <v>3</v>
      </c>
      <c r="D26" s="4" t="n">
        <v>1</v>
      </c>
      <c r="E26" s="4" t="n">
        <v>33.3</v>
      </c>
    </row>
    <row r="27">
      <c r="A27" s="4" t="n">
        <v>26</v>
      </c>
      <c r="B27" s="7" t="inlineStr">
        <is>
          <t>中国 + 卢旺达 + 非洲</t>
        </is>
      </c>
      <c r="C27" s="4" t="n">
        <v>9</v>
      </c>
      <c r="D27" s="4" t="n">
        <v>3</v>
      </c>
      <c r="E27" s="4" t="n">
        <v>33.3</v>
      </c>
    </row>
    <row r="28">
      <c r="A28" s="4" t="n">
        <v>27</v>
      </c>
      <c r="B28" s="7" t="inlineStr">
        <is>
          <t>中国 + 卢旺达 + 美食 + 非洲</t>
        </is>
      </c>
      <c r="C28" s="4" t="n">
        <v>3</v>
      </c>
      <c r="D28" s="4" t="n">
        <v>1</v>
      </c>
      <c r="E28" s="4" t="n">
        <v>33.3</v>
      </c>
    </row>
    <row r="29">
      <c r="A29" s="4" t="n">
        <v>28</v>
      </c>
      <c r="B29" s="7" t="inlineStr">
        <is>
          <t>唯有足球不可辜负 + 马内</t>
        </is>
      </c>
      <c r="C29" s="4" t="n">
        <v>3</v>
      </c>
      <c r="D29" s="4" t="n">
        <v>1</v>
      </c>
      <c r="E29" s="4" t="n">
        <v>33.3</v>
      </c>
    </row>
    <row r="30">
      <c r="A30" s="4" t="n">
        <v>29</v>
      </c>
      <c r="B30" s="7" t="inlineStr">
        <is>
          <t>莫桑比克 + 非洲 + 非洲生活</t>
        </is>
      </c>
      <c r="C30" s="4" t="n">
        <v>8</v>
      </c>
      <c r="D30" s="4" t="n">
        <v>2</v>
      </c>
      <c r="E30" s="4" t="n">
        <v>25</v>
      </c>
    </row>
    <row r="31">
      <c r="A31" s="4" t="n">
        <v>30</v>
      </c>
      <c r="B31" s="7" t="inlineStr">
        <is>
          <t>创业 + 尼日利亚 + 海外生活 + 记录真实生活</t>
        </is>
      </c>
      <c r="C31" s="4" t="n">
        <v>8</v>
      </c>
      <c r="D31" s="4" t="n">
        <v>2</v>
      </c>
      <c r="E31" s="4" t="n">
        <v>25</v>
      </c>
    </row>
    <row r="32">
      <c r="A32" s="4" t="n">
        <v>31</v>
      </c>
      <c r="B32" s="7" t="inlineStr">
        <is>
          <t>法国 + 科特迪瓦</t>
        </is>
      </c>
      <c r="C32" s="4" t="n">
        <v>4</v>
      </c>
      <c r="D32" s="4" t="n">
        <v>1</v>
      </c>
      <c r="E32" s="4" t="n">
        <v>25</v>
      </c>
    </row>
    <row r="33">
      <c r="A33" s="4" t="n">
        <v>32</v>
      </c>
      <c r="B33" s="7" t="inlineStr">
        <is>
          <t>全球创作者计划 + 零基础看懂全球</t>
        </is>
      </c>
      <c r="C33" s="4" t="n">
        <v>15</v>
      </c>
      <c r="D33" s="4" t="n">
        <v>3</v>
      </c>
      <c r="E33" s="4" t="n">
        <v>20</v>
      </c>
    </row>
    <row r="34">
      <c r="A34" s="4" t="n">
        <v>33</v>
      </c>
      <c r="B34" s="7" t="inlineStr">
        <is>
          <t>交换世界计划 + 无障碍交流 + 超会玩派对 + 青年创作者成长计划</t>
        </is>
      </c>
      <c r="C34" s="4" t="n">
        <v>3</v>
      </c>
      <c r="D34" s="4" t="n">
        <v>0</v>
      </c>
      <c r="E34" s="4" t="n">
        <v>0</v>
      </c>
    </row>
    <row r="35">
      <c r="A35" s="4" t="n">
        <v>34</v>
      </c>
      <c r="B35" s="7" t="inlineStr">
        <is>
          <t>dou上热门 + 中国人在非洲 + 喀麦隆 + 非洲</t>
        </is>
      </c>
      <c r="C35" s="4" t="n">
        <v>3</v>
      </c>
      <c r="D35" s="4" t="n">
        <v>0</v>
      </c>
      <c r="E35" s="4" t="n">
        <v>0</v>
      </c>
    </row>
    <row r="36">
      <c r="A36" s="4" t="n">
        <v>35</v>
      </c>
      <c r="B36" s="7" t="inlineStr">
        <is>
          <t>出海 + 创业 + 老板思维 + 阿公商业</t>
        </is>
      </c>
      <c r="C36" s="4" t="n">
        <v>8</v>
      </c>
      <c r="D36" s="4" t="n">
        <v>0</v>
      </c>
      <c r="E36" s="4" t="n">
        <v>0</v>
      </c>
    </row>
    <row r="37">
      <c r="A37" s="4" t="n">
        <v>36</v>
      </c>
      <c r="B37" s="7" t="inlineStr">
        <is>
          <t>企业出海 + 邹先华 + 非洲创业 + 非洲认知</t>
        </is>
      </c>
      <c r="C37" s="4" t="n">
        <v>3</v>
      </c>
      <c r="D37" s="4" t="n">
        <v>0</v>
      </c>
      <c r="E37" s="4" t="n">
        <v>0</v>
      </c>
    </row>
    <row r="38">
      <c r="A38" s="4" t="n">
        <v>37</v>
      </c>
      <c r="B38" s="7" t="inlineStr">
        <is>
          <t>万万没想到 + 中国美食 + 卢旺达 + 娱乐</t>
        </is>
      </c>
      <c r="C38" s="4" t="n">
        <v>5</v>
      </c>
      <c r="D38" s="4" t="n">
        <v>0</v>
      </c>
      <c r="E38" s="4" t="n">
        <v>0</v>
      </c>
    </row>
    <row r="39">
      <c r="A39" s="4" t="n">
        <v>38</v>
      </c>
      <c r="B39" s="7" t="inlineStr">
        <is>
          <t>摄影 + 摩洛哥 + 胶片摄影 + 街拍</t>
        </is>
      </c>
      <c r="C39" s="4" t="n">
        <v>3</v>
      </c>
      <c r="D39" s="4" t="n">
        <v>0</v>
      </c>
      <c r="E39" s="4" t="n">
        <v>0</v>
      </c>
    </row>
    <row r="40">
      <c r="A40" s="4" t="n">
        <v>39</v>
      </c>
      <c r="B40" s="7" t="inlineStr">
        <is>
          <t>2026美加墨世界杯分组 + 世界杯2026赛程⚽</t>
        </is>
      </c>
      <c r="C40" s="4" t="n">
        <v>6</v>
      </c>
      <c r="D40" s="4" t="n">
        <v>0</v>
      </c>
      <c r="E40" s="4" t="n">
        <v>0</v>
      </c>
    </row>
    <row r="41">
      <c r="A41" s="4" t="n">
        <v>40</v>
      </c>
      <c r="B41" s="7" t="inlineStr">
        <is>
          <t>出海 + 创业 + 商业认知 + 非洲</t>
        </is>
      </c>
      <c r="C41" s="4" t="n">
        <v>10</v>
      </c>
      <c r="D41" s="4" t="n">
        <v>0</v>
      </c>
      <c r="E41" s="4" t="n">
        <v>0</v>
      </c>
    </row>
    <row r="42">
      <c r="A42" s="4" t="n">
        <v>41</v>
      </c>
      <c r="B42" s="7" t="inlineStr">
        <is>
          <t>农业项目 + 安哥拉农业 + 安哥拉农场 + 非洲农业</t>
        </is>
      </c>
      <c r="C42" s="4" t="n">
        <v>18</v>
      </c>
      <c r="D42" s="4" t="n">
        <v>0</v>
      </c>
      <c r="E42" s="4" t="n">
        <v>0</v>
      </c>
    </row>
    <row r="43">
      <c r="A43" s="4" t="n">
        <v>42</v>
      </c>
      <c r="B43" s="7" t="inlineStr">
        <is>
          <t>旅行大玩家 + 海外奇遇见闻录 + 肯尼亚</t>
        </is>
      </c>
      <c r="C43" s="4" t="n">
        <v>4</v>
      </c>
      <c r="D43" s="4" t="n">
        <v>0</v>
      </c>
      <c r="E43" s="4" t="n">
        <v>0</v>
      </c>
    </row>
    <row r="44">
      <c r="A44" s="4" t="n">
        <v>43</v>
      </c>
      <c r="B44" s="7" t="inlineStr">
        <is>
          <t>dou来足球季 + 姆巴佩 + 法国vs科特迪瓦 + 法国队</t>
        </is>
      </c>
      <c r="C44" s="4" t="n">
        <v>3</v>
      </c>
      <c r="D44" s="4" t="n">
        <v>0</v>
      </c>
      <c r="E44" s="4" t="n">
        <v>0</v>
      </c>
    </row>
    <row r="45">
      <c r="A45" s="4" t="n">
        <v>44</v>
      </c>
      <c r="B45" s="7" t="inlineStr">
        <is>
          <t>农业项目 + 农场致富 + 安哥拉农业 + 安哥拉农场</t>
        </is>
      </c>
      <c r="C45" s="4" t="n">
        <v>5</v>
      </c>
      <c r="D45" s="4" t="n">
        <v>0</v>
      </c>
      <c r="E45" s="4" t="n">
        <v>0</v>
      </c>
    </row>
    <row r="46">
      <c r="A46" s="4" t="n">
        <v>45</v>
      </c>
      <c r="B46" s="7" t="inlineStr">
        <is>
          <t>中国人在尼日利亚 + 创业 + 尼日利亚 + 生意</t>
        </is>
      </c>
      <c r="C46" s="4" t="n">
        <v>10</v>
      </c>
      <c r="D46" s="4" t="n">
        <v>0</v>
      </c>
      <c r="E46" s="4" t="n">
        <v>0</v>
      </c>
    </row>
    <row r="47">
      <c r="A47" s="4" t="n">
        <v>46</v>
      </c>
      <c r="B47" s="7" t="inlineStr">
        <is>
          <t>出海 + 商业认知 + 非洲 + 非洲创业</t>
        </is>
      </c>
      <c r="C47" s="4" t="n">
        <v>7</v>
      </c>
      <c r="D47" s="4" t="n">
        <v>0</v>
      </c>
      <c r="E47" s="4" t="n">
        <v>0</v>
      </c>
    </row>
    <row r="48">
      <c r="A48" s="4" t="n">
        <v>47</v>
      </c>
      <c r="B48" s="7" t="inlineStr">
        <is>
          <t>创业 + 卢旺达 + 海外生活 + 非洲</t>
        </is>
      </c>
      <c r="C48" s="4" t="n">
        <v>3</v>
      </c>
      <c r="D48" s="4" t="n">
        <v>0</v>
      </c>
      <c r="E48" s="4" t="n">
        <v>0</v>
      </c>
    </row>
    <row r="49">
      <c r="A49" s="4" t="n">
        <v>48</v>
      </c>
      <c r="B49" s="7" t="inlineStr">
        <is>
          <t>非洲 + 非洲创业 + 非洲生活</t>
        </is>
      </c>
      <c r="C49" s="4" t="n">
        <v>7</v>
      </c>
      <c r="D49" s="4" t="n">
        <v>0</v>
      </c>
      <c r="E49" s="4" t="n">
        <v>0</v>
      </c>
    </row>
    <row r="50">
      <c r="A50" s="4" t="n">
        <v>49</v>
      </c>
      <c r="B50" s="7" t="inlineStr">
        <is>
          <t>邹先华 + 非洲创业 + 非洲认知</t>
        </is>
      </c>
      <c r="C50" s="4" t="n">
        <v>4</v>
      </c>
      <c r="D50" s="4" t="n">
        <v>0</v>
      </c>
      <c r="E50" s="4" t="n">
        <v>0</v>
      </c>
    </row>
    <row r="51">
      <c r="A51" s="4" t="n">
        <v>50</v>
      </c>
      <c r="B51" s="7" t="inlineStr">
        <is>
          <t>出海创业 + 非洲 + 非洲创业</t>
        </is>
      </c>
      <c r="C51" s="4" t="n">
        <v>4</v>
      </c>
      <c r="D51" s="4" t="n">
        <v>0</v>
      </c>
      <c r="E51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7" customWidth="1" min="3" max="3"/>
    <col width="6" customWidth="1" min="4" max="4"/>
    <col width="9" customWidth="1" min="5" max="5"/>
    <col width="12" customWidth="1" min="6" max="6"/>
    <col width="10" customWidth="1" min="7" max="7"/>
    <col width="9" customWidth="1" min="8" max="8"/>
  </cols>
  <sheetData>
    <row r="1">
      <c r="A1" s="1" t="inlineStr">
        <is>
          <t>排名</t>
        </is>
      </c>
      <c r="B1" s="1" t="inlineStr">
        <is>
          <t>作者</t>
        </is>
      </c>
      <c r="C1" s="1" t="inlineStr">
        <is>
          <t>总视频数</t>
        </is>
      </c>
      <c r="D1" s="1" t="inlineStr">
        <is>
          <t>爆款数</t>
        </is>
      </c>
      <c r="E1" s="1" t="inlineStr">
        <is>
          <t>爆款率(%)</t>
        </is>
      </c>
      <c r="F1" s="1" t="inlineStr">
        <is>
          <t>平均互动</t>
        </is>
      </c>
      <c r="G1" s="1" t="inlineStr">
        <is>
          <t>最高互动</t>
        </is>
      </c>
      <c r="H1" s="1" t="inlineStr">
        <is>
          <t>持续性判断</t>
        </is>
      </c>
    </row>
    <row r="2">
      <c r="A2" s="4" t="n">
        <v>1</v>
      </c>
      <c r="B2" s="6" t="inlineStr">
        <is>
          <t>小钟Johnny</t>
        </is>
      </c>
      <c r="C2" s="4" t="n">
        <v>8</v>
      </c>
      <c r="D2" s="4" t="n">
        <v>8</v>
      </c>
      <c r="E2" s="4" t="n">
        <v>100</v>
      </c>
      <c r="F2" s="4" t="n">
        <v>161493</v>
      </c>
      <c r="G2" s="4" t="n">
        <v>256985</v>
      </c>
      <c r="H2" s="4" t="inlineStr">
        <is>
          <t>持续爆款作者</t>
        </is>
      </c>
    </row>
    <row r="3">
      <c r="A3" s="4" t="n">
        <v>2</v>
      </c>
      <c r="B3" s="6" t="inlineStr">
        <is>
          <t>小黑炭发现</t>
        </is>
      </c>
      <c r="C3" s="4" t="n">
        <v>9</v>
      </c>
      <c r="D3" s="4" t="n">
        <v>8</v>
      </c>
      <c r="E3" s="4" t="n">
        <v>88.90000000000001</v>
      </c>
      <c r="F3" s="4" t="n">
        <v>141358.33</v>
      </c>
      <c r="G3" s="4" t="n">
        <v>315281</v>
      </c>
      <c r="H3" s="4" t="inlineStr">
        <is>
          <t>持续爆款作者</t>
        </is>
      </c>
    </row>
    <row r="4">
      <c r="A4" s="4" t="n">
        <v>3</v>
      </c>
      <c r="B4" s="6" t="inlineStr">
        <is>
          <t>非洲十年</t>
        </is>
      </c>
      <c r="C4" s="4" t="n">
        <v>8</v>
      </c>
      <c r="D4" s="4" t="n">
        <v>7</v>
      </c>
      <c r="E4" s="4" t="n">
        <v>87.5</v>
      </c>
      <c r="F4" s="4" t="n">
        <v>135854.12</v>
      </c>
      <c r="G4" s="4" t="n">
        <v>381955</v>
      </c>
      <c r="H4" s="4" t="inlineStr">
        <is>
          <t>持续爆款作者</t>
        </is>
      </c>
    </row>
    <row r="5">
      <c r="A5" s="4" t="n">
        <v>4</v>
      </c>
      <c r="B5" s="6" t="inlineStr">
        <is>
          <t>小野草</t>
        </is>
      </c>
      <c r="C5" s="4" t="n">
        <v>7</v>
      </c>
      <c r="D5" s="4" t="n">
        <v>7</v>
      </c>
      <c r="E5" s="4" t="n">
        <v>100</v>
      </c>
      <c r="F5" s="4" t="n">
        <v>132884.43</v>
      </c>
      <c r="G5" s="4" t="n">
        <v>386264</v>
      </c>
      <c r="H5" s="4" t="inlineStr">
        <is>
          <t>持续爆款作者</t>
        </is>
      </c>
    </row>
    <row r="6">
      <c r="A6" s="4" t="n">
        <v>5</v>
      </c>
      <c r="B6" s="6" t="inlineStr">
        <is>
          <t>俐俐姐讲轻创业</t>
        </is>
      </c>
      <c r="C6" s="4" t="n">
        <v>6</v>
      </c>
      <c r="D6" s="4" t="n">
        <v>6</v>
      </c>
      <c r="E6" s="4" t="n">
        <v>100</v>
      </c>
      <c r="F6" s="4" t="n">
        <v>68958</v>
      </c>
      <c r="G6" s="4" t="n">
        <v>78508</v>
      </c>
      <c r="H6" s="4" t="inlineStr">
        <is>
          <t>持续爆款作者</t>
        </is>
      </c>
    </row>
    <row r="7">
      <c r="A7" s="4" t="n">
        <v>6</v>
      </c>
      <c r="B7" s="6" t="inlineStr">
        <is>
          <t>义乌虎哥～全球百货供应链</t>
        </is>
      </c>
      <c r="C7" s="4" t="n">
        <v>27</v>
      </c>
      <c r="D7" s="4" t="n">
        <v>6</v>
      </c>
      <c r="E7" s="4" t="n">
        <v>22.2</v>
      </c>
      <c r="F7" s="4" t="n">
        <v>6896</v>
      </c>
      <c r="G7" s="4" t="n">
        <v>30556</v>
      </c>
      <c r="H7" s="4" t="inlineStr">
        <is>
          <t>持续爆款作者</t>
        </is>
      </c>
    </row>
    <row r="8">
      <c r="A8" s="4" t="n">
        <v>7</v>
      </c>
      <c r="B8" s="6" t="inlineStr">
        <is>
          <t>玄机视界</t>
        </is>
      </c>
      <c r="C8" s="4" t="n">
        <v>7</v>
      </c>
      <c r="D8" s="4" t="n">
        <v>6</v>
      </c>
      <c r="E8" s="4" t="n">
        <v>85.7</v>
      </c>
      <c r="F8" s="4" t="n">
        <v>443405</v>
      </c>
      <c r="G8" s="4" t="n">
        <v>842177</v>
      </c>
      <c r="H8" s="4" t="inlineStr">
        <is>
          <t>持续爆款作者</t>
        </is>
      </c>
    </row>
    <row r="9">
      <c r="A9" s="4" t="n">
        <v>8</v>
      </c>
      <c r="B9" s="6" t="inlineStr">
        <is>
          <t>逍遥小魔头</t>
        </is>
      </c>
      <c r="C9" s="4" t="n">
        <v>6</v>
      </c>
      <c r="D9" s="4" t="n">
        <v>6</v>
      </c>
      <c r="E9" s="4" t="n">
        <v>100</v>
      </c>
      <c r="F9" s="4" t="n">
        <v>90391.83</v>
      </c>
      <c r="G9" s="4" t="n">
        <v>107667</v>
      </c>
      <c r="H9" s="4" t="inlineStr">
        <is>
          <t>持续爆款作者</t>
        </is>
      </c>
    </row>
    <row r="10">
      <c r="A10" s="4" t="n">
        <v>9</v>
      </c>
      <c r="B10" s="6" t="inlineStr">
        <is>
          <t>央视新闻</t>
        </is>
      </c>
      <c r="C10" s="4" t="n">
        <v>6</v>
      </c>
      <c r="D10" s="4" t="n">
        <v>6</v>
      </c>
      <c r="E10" s="4" t="n">
        <v>100</v>
      </c>
      <c r="F10" s="4" t="n">
        <v>980680</v>
      </c>
      <c r="G10" s="4" t="n">
        <v>1978415</v>
      </c>
      <c r="H10" s="4" t="inlineStr">
        <is>
          <t>持续爆款作者</t>
        </is>
      </c>
    </row>
    <row r="11">
      <c r="A11" s="4" t="n">
        <v>10</v>
      </c>
      <c r="B11" s="6" t="inlineStr">
        <is>
          <t>非洲蔡</t>
        </is>
      </c>
      <c r="C11" s="4" t="n">
        <v>78</v>
      </c>
      <c r="D11" s="4" t="n">
        <v>5</v>
      </c>
      <c r="E11" s="4" t="n">
        <v>6.4</v>
      </c>
      <c r="F11" s="4" t="n">
        <v>8666.870000000001</v>
      </c>
      <c r="G11" s="4" t="n">
        <v>91433</v>
      </c>
      <c r="H11" s="4" t="inlineStr">
        <is>
          <t>持续爆款作者</t>
        </is>
      </c>
    </row>
    <row r="12">
      <c r="A12" s="4" t="n">
        <v>11</v>
      </c>
      <c r="B12" s="6" t="inlineStr">
        <is>
          <t>林鲸鱼去远行</t>
        </is>
      </c>
      <c r="C12" s="4" t="n">
        <v>9</v>
      </c>
      <c r="D12" s="4" t="n">
        <v>5</v>
      </c>
      <c r="E12" s="4" t="n">
        <v>55.6</v>
      </c>
      <c r="F12" s="4" t="n">
        <v>55887.11</v>
      </c>
      <c r="G12" s="4" t="n">
        <v>124383</v>
      </c>
      <c r="H12" s="4" t="inlineStr">
        <is>
          <t>持续爆款作者</t>
        </is>
      </c>
    </row>
    <row r="13">
      <c r="A13" s="4" t="n">
        <v>12</v>
      </c>
      <c r="B13" s="6" t="inlineStr">
        <is>
          <t>耀阳环游记</t>
        </is>
      </c>
      <c r="C13" s="4" t="n">
        <v>8</v>
      </c>
      <c r="D13" s="4" t="n">
        <v>5</v>
      </c>
      <c r="E13" s="4" t="n">
        <v>62.5</v>
      </c>
      <c r="F13" s="4" t="n">
        <v>61798.5</v>
      </c>
      <c r="G13" s="4" t="n">
        <v>152834</v>
      </c>
      <c r="H13" s="4" t="inlineStr">
        <is>
          <t>持续爆款作者</t>
        </is>
      </c>
    </row>
    <row r="14">
      <c r="A14" s="4" t="n">
        <v>13</v>
      </c>
      <c r="B14" s="6" t="inlineStr">
        <is>
          <t>邹先华</t>
        </is>
      </c>
      <c r="C14" s="4" t="n">
        <v>14</v>
      </c>
      <c r="D14" s="4" t="n">
        <v>5</v>
      </c>
      <c r="E14" s="4" t="n">
        <v>35.7</v>
      </c>
      <c r="F14" s="4" t="n">
        <v>33756.14</v>
      </c>
      <c r="G14" s="4" t="n">
        <v>104935</v>
      </c>
      <c r="H14" s="4" t="inlineStr">
        <is>
          <t>持续爆款作者</t>
        </is>
      </c>
    </row>
    <row r="15">
      <c r="A15" s="4" t="n">
        <v>14</v>
      </c>
      <c r="B15" s="6" t="inlineStr">
        <is>
          <t>钱说</t>
        </is>
      </c>
      <c r="C15" s="4" t="n">
        <v>5</v>
      </c>
      <c r="D15" s="4" t="n">
        <v>5</v>
      </c>
      <c r="E15" s="4" t="n">
        <v>100</v>
      </c>
      <c r="F15" s="4" t="n">
        <v>49131.2</v>
      </c>
      <c r="G15" s="4" t="n">
        <v>56835</v>
      </c>
      <c r="H15" s="4" t="inlineStr">
        <is>
          <t>持续爆款作者</t>
        </is>
      </c>
    </row>
    <row r="16">
      <c r="A16" s="4" t="n">
        <v>15</v>
      </c>
      <c r="B16" s="6" t="inlineStr">
        <is>
          <t>行走方探长</t>
        </is>
      </c>
      <c r="C16" s="4" t="n">
        <v>4</v>
      </c>
      <c r="D16" s="4" t="n">
        <v>4</v>
      </c>
      <c r="E16" s="4" t="n">
        <v>100</v>
      </c>
      <c r="F16" s="4" t="n">
        <v>190999.75</v>
      </c>
      <c r="G16" s="4" t="n">
        <v>283240</v>
      </c>
      <c r="H16" s="4" t="inlineStr">
        <is>
          <t>持续爆款作者</t>
        </is>
      </c>
    </row>
    <row r="17">
      <c r="A17" s="4" t="n">
        <v>16</v>
      </c>
      <c r="B17" s="6" t="inlineStr">
        <is>
          <t>敬大宝</t>
        </is>
      </c>
      <c r="C17" s="4" t="n">
        <v>4</v>
      </c>
      <c r="D17" s="4" t="n">
        <v>4</v>
      </c>
      <c r="E17" s="4" t="n">
        <v>100</v>
      </c>
      <c r="F17" s="4" t="n">
        <v>343058.75</v>
      </c>
      <c r="G17" s="4" t="n">
        <v>498992</v>
      </c>
      <c r="H17" s="4" t="inlineStr">
        <is>
          <t>持续爆款作者</t>
        </is>
      </c>
    </row>
    <row r="18">
      <c r="A18" s="4" t="n">
        <v>17</v>
      </c>
      <c r="B18" s="6" t="inlineStr">
        <is>
          <t>新华社</t>
        </is>
      </c>
      <c r="C18" s="4" t="n">
        <v>6</v>
      </c>
      <c r="D18" s="4" t="n">
        <v>4</v>
      </c>
      <c r="E18" s="4" t="n">
        <v>66.7</v>
      </c>
      <c r="F18" s="4" t="n">
        <v>81616.67</v>
      </c>
      <c r="G18" s="4" t="n">
        <v>239009</v>
      </c>
      <c r="H18" s="4" t="inlineStr">
        <is>
          <t>持续爆款作者</t>
        </is>
      </c>
    </row>
    <row r="19">
      <c r="A19" s="4" t="n">
        <v>18</v>
      </c>
      <c r="B19" s="6" t="inlineStr">
        <is>
          <t>洋过探世界</t>
        </is>
      </c>
      <c r="C19" s="4" t="n">
        <v>4</v>
      </c>
      <c r="D19" s="4" t="n">
        <v>4</v>
      </c>
      <c r="E19" s="4" t="n">
        <v>100</v>
      </c>
      <c r="F19" s="4" t="n">
        <v>160611.75</v>
      </c>
      <c r="G19" s="4" t="n">
        <v>322564</v>
      </c>
      <c r="H19" s="4" t="inlineStr">
        <is>
          <t>持续爆款作者</t>
        </is>
      </c>
    </row>
    <row r="20">
      <c r="A20" s="4" t="n">
        <v>19</v>
      </c>
      <c r="B20" s="6" t="inlineStr">
        <is>
          <t>德哥新视界</t>
        </is>
      </c>
      <c r="C20" s="4" t="n">
        <v>4</v>
      </c>
      <c r="D20" s="4" t="n">
        <v>4</v>
      </c>
      <c r="E20" s="4" t="n">
        <v>100</v>
      </c>
      <c r="F20" s="4" t="n">
        <v>102709.25</v>
      </c>
      <c r="G20" s="4" t="n">
        <v>239804</v>
      </c>
      <c r="H20" s="4" t="inlineStr">
        <is>
          <t>持续爆款作者</t>
        </is>
      </c>
    </row>
    <row r="21">
      <c r="A21" s="4" t="n">
        <v>20</v>
      </c>
      <c r="B21" s="6" t="inlineStr">
        <is>
          <t>佳哥在非洲(加纳🇬🇭）</t>
        </is>
      </c>
      <c r="C21" s="4" t="n">
        <v>8</v>
      </c>
      <c r="D21" s="4" t="n">
        <v>4</v>
      </c>
      <c r="E21" s="4" t="n">
        <v>50</v>
      </c>
      <c r="F21" s="4" t="n">
        <v>33332.62</v>
      </c>
      <c r="G21" s="4" t="n">
        <v>60185</v>
      </c>
      <c r="H21" s="4" t="inlineStr">
        <is>
          <t>持续爆款作者</t>
        </is>
      </c>
    </row>
    <row r="22">
      <c r="A22" s="4" t="n">
        <v>21</v>
      </c>
      <c r="B22" s="6" t="inlineStr">
        <is>
          <t>凤凰卫视</t>
        </is>
      </c>
      <c r="C22" s="4" t="n">
        <v>4</v>
      </c>
      <c r="D22" s="4" t="n">
        <v>4</v>
      </c>
      <c r="E22" s="4" t="n">
        <v>100</v>
      </c>
      <c r="F22" s="4" t="n">
        <v>52000.25</v>
      </c>
      <c r="G22" s="4" t="n">
        <v>91324</v>
      </c>
      <c r="H22" s="4" t="inlineStr">
        <is>
          <t>持续爆款作者</t>
        </is>
      </c>
    </row>
    <row r="23">
      <c r="A23" s="4" t="n">
        <v>22</v>
      </c>
      <c r="B23" s="6" t="inlineStr">
        <is>
          <t>王小龙闯世界</t>
        </is>
      </c>
      <c r="C23" s="4" t="n">
        <v>16</v>
      </c>
      <c r="D23" s="4" t="n">
        <v>4</v>
      </c>
      <c r="E23" s="4" t="n">
        <v>25</v>
      </c>
      <c r="F23" s="4" t="n">
        <v>49520.75</v>
      </c>
      <c r="G23" s="4" t="n">
        <v>508866</v>
      </c>
      <c r="H23" s="4" t="inlineStr">
        <is>
          <t>持续爆款作者</t>
        </is>
      </c>
    </row>
    <row r="24">
      <c r="A24" s="4" t="n">
        <v>23</v>
      </c>
      <c r="B24" s="6" t="inlineStr">
        <is>
          <t>非洲通</t>
        </is>
      </c>
      <c r="C24" s="4" t="n">
        <v>38</v>
      </c>
      <c r="D24" s="4" t="n">
        <v>3</v>
      </c>
      <c r="E24" s="4" t="n">
        <v>7.9</v>
      </c>
      <c r="F24" s="4" t="n">
        <v>40695.13</v>
      </c>
      <c r="G24" s="4" t="n">
        <v>723729</v>
      </c>
      <c r="H24" s="4" t="inlineStr">
        <is>
          <t>持续爆款作者</t>
        </is>
      </c>
    </row>
    <row r="25">
      <c r="A25" s="4" t="n">
        <v>24</v>
      </c>
      <c r="B25" s="6" t="inlineStr">
        <is>
          <t>红星新闻</t>
        </is>
      </c>
      <c r="C25" s="4" t="n">
        <v>5</v>
      </c>
      <c r="D25" s="4" t="n">
        <v>3</v>
      </c>
      <c r="E25" s="4" t="n">
        <v>60</v>
      </c>
      <c r="F25" s="4" t="n">
        <v>56509.8</v>
      </c>
      <c r="G25" s="4" t="n">
        <v>133661</v>
      </c>
      <c r="H25" s="4" t="inlineStr">
        <is>
          <t>持续爆款作者</t>
        </is>
      </c>
    </row>
    <row r="26">
      <c r="A26" s="4" t="n">
        <v>25</v>
      </c>
      <c r="B26" s="6" t="inlineStr">
        <is>
          <t>一林大话世界</t>
        </is>
      </c>
      <c r="C26" s="4" t="n">
        <v>6</v>
      </c>
      <c r="D26" s="4" t="n">
        <v>3</v>
      </c>
      <c r="E26" s="4" t="n">
        <v>50</v>
      </c>
      <c r="F26" s="4" t="n">
        <v>32336.83</v>
      </c>
      <c r="G26" s="4" t="n">
        <v>54965</v>
      </c>
      <c r="H26" s="4" t="inlineStr">
        <is>
          <t>持续爆款作者</t>
        </is>
      </c>
    </row>
    <row r="27">
      <c r="A27" s="4" t="n">
        <v>26</v>
      </c>
      <c r="B27" s="6" t="inlineStr">
        <is>
          <t>楠楠不爱穿袜子</t>
        </is>
      </c>
      <c r="C27" s="4" t="n">
        <v>3</v>
      </c>
      <c r="D27" s="4" t="n">
        <v>3</v>
      </c>
      <c r="E27" s="4" t="n">
        <v>100</v>
      </c>
      <c r="F27" s="4" t="n">
        <v>39134.33</v>
      </c>
      <c r="G27" s="4" t="n">
        <v>39135</v>
      </c>
      <c r="H27" s="4" t="inlineStr">
        <is>
          <t>持续爆款作者</t>
        </is>
      </c>
    </row>
    <row r="28">
      <c r="A28" s="4" t="n">
        <v>27</v>
      </c>
      <c r="B28" s="6" t="inlineStr">
        <is>
          <t>叶和那拉艳芬</t>
        </is>
      </c>
      <c r="C28" s="4" t="n">
        <v>3</v>
      </c>
      <c r="D28" s="4" t="n">
        <v>3</v>
      </c>
      <c r="E28" s="4" t="n">
        <v>100</v>
      </c>
      <c r="F28" s="4" t="n">
        <v>196690</v>
      </c>
      <c r="G28" s="4" t="n">
        <v>196690</v>
      </c>
      <c r="H28" s="4" t="inlineStr">
        <is>
          <t>持续爆款作者</t>
        </is>
      </c>
    </row>
    <row r="29">
      <c r="A29" s="4" t="n">
        <v>28</v>
      </c>
      <c r="B29" s="6" t="inlineStr">
        <is>
          <t>摸娱大黄呱</t>
        </is>
      </c>
      <c r="C29" s="4" t="n">
        <v>3</v>
      </c>
      <c r="D29" s="4" t="n">
        <v>3</v>
      </c>
      <c r="E29" s="4" t="n">
        <v>100</v>
      </c>
      <c r="F29" s="4" t="n">
        <v>337802.67</v>
      </c>
      <c r="G29" s="4" t="n">
        <v>337809</v>
      </c>
      <c r="H29" s="4" t="inlineStr">
        <is>
          <t>持续爆款作者</t>
        </is>
      </c>
    </row>
    <row r="30">
      <c r="A30" s="4" t="n">
        <v>29</v>
      </c>
      <c r="B30" s="6" t="inlineStr">
        <is>
          <t>有料唐呱呱</t>
        </is>
      </c>
      <c r="C30" s="4" t="n">
        <v>3</v>
      </c>
      <c r="D30" s="4" t="n">
        <v>3</v>
      </c>
      <c r="E30" s="4" t="n">
        <v>100</v>
      </c>
      <c r="F30" s="4" t="n">
        <v>597543</v>
      </c>
      <c r="G30" s="4" t="n">
        <v>597543</v>
      </c>
      <c r="H30" s="4" t="inlineStr">
        <is>
          <t>持续爆款作者</t>
        </is>
      </c>
    </row>
    <row r="31">
      <c r="A31" s="4" t="n">
        <v>30</v>
      </c>
      <c r="B31" s="6" t="inlineStr">
        <is>
          <t>娱姐八姨太</t>
        </is>
      </c>
      <c r="C31" s="4" t="n">
        <v>3</v>
      </c>
      <c r="D31" s="4" t="n">
        <v>3</v>
      </c>
      <c r="E31" s="4" t="n">
        <v>100</v>
      </c>
      <c r="F31" s="4" t="n">
        <v>238700</v>
      </c>
      <c r="G31" s="4" t="n">
        <v>238700</v>
      </c>
      <c r="H31" s="4" t="inlineStr">
        <is>
          <t>持续爆款作者</t>
        </is>
      </c>
    </row>
    <row r="32">
      <c r="A32" s="4" t="n">
        <v>31</v>
      </c>
      <c r="B32" s="6" t="inlineStr">
        <is>
          <t>Udnidbdjdkh</t>
        </is>
      </c>
      <c r="C32" s="4" t="n">
        <v>5</v>
      </c>
      <c r="D32" s="4" t="n">
        <v>3</v>
      </c>
      <c r="E32" s="4" t="n">
        <v>60</v>
      </c>
      <c r="F32" s="4" t="n">
        <v>46928.8</v>
      </c>
      <c r="G32" s="4" t="n">
        <v>76680</v>
      </c>
      <c r="H32" s="4" t="inlineStr">
        <is>
          <t>持续爆款作者</t>
        </is>
      </c>
    </row>
    <row r="33">
      <c r="A33" s="4" t="n">
        <v>32</v>
      </c>
      <c r="B33" s="6" t="inlineStr">
        <is>
          <t>乌拉那拉大嘴</t>
        </is>
      </c>
      <c r="C33" s="4" t="n">
        <v>3</v>
      </c>
      <c r="D33" s="4" t="n">
        <v>3</v>
      </c>
      <c r="E33" s="4" t="n">
        <v>100</v>
      </c>
      <c r="F33" s="4" t="n">
        <v>45540.33</v>
      </c>
      <c r="G33" s="4" t="n">
        <v>45541</v>
      </c>
      <c r="H33" s="4" t="inlineStr">
        <is>
          <t>持续爆款作者</t>
        </is>
      </c>
    </row>
    <row r="34">
      <c r="A34" s="4" t="n">
        <v>33</v>
      </c>
      <c r="B34" s="6" t="inlineStr">
        <is>
          <t>一亦秋</t>
        </is>
      </c>
      <c r="C34" s="4" t="n">
        <v>12</v>
      </c>
      <c r="D34" s="4" t="n">
        <v>3</v>
      </c>
      <c r="E34" s="4" t="n">
        <v>25</v>
      </c>
      <c r="F34" s="4" t="n">
        <v>13720.17</v>
      </c>
      <c r="G34" s="4" t="n">
        <v>39270</v>
      </c>
      <c r="H34" s="4" t="inlineStr">
        <is>
          <t>持续爆款作者</t>
        </is>
      </c>
    </row>
    <row r="35">
      <c r="A35" s="4" t="n">
        <v>34</v>
      </c>
      <c r="B35" s="6" t="inlineStr">
        <is>
          <t>闲娱大杂烩</t>
        </is>
      </c>
      <c r="C35" s="4" t="n">
        <v>3</v>
      </c>
      <c r="D35" s="4" t="n">
        <v>3</v>
      </c>
      <c r="E35" s="4" t="n">
        <v>100</v>
      </c>
      <c r="F35" s="4" t="n">
        <v>448047</v>
      </c>
      <c r="G35" s="4" t="n">
        <v>448047</v>
      </c>
      <c r="H35" s="4" t="inlineStr">
        <is>
          <t>持续爆款作者</t>
        </is>
      </c>
    </row>
    <row r="36">
      <c r="A36" s="4" t="n">
        <v>35</v>
      </c>
      <c r="B36" s="6" t="inlineStr">
        <is>
          <t>埃及火山老李</t>
        </is>
      </c>
      <c r="C36" s="4" t="n">
        <v>12</v>
      </c>
      <c r="D36" s="4" t="n">
        <v>3</v>
      </c>
      <c r="E36" s="4" t="n">
        <v>25</v>
      </c>
      <c r="F36" s="4" t="n">
        <v>21163.33</v>
      </c>
      <c r="G36" s="4" t="n">
        <v>54699</v>
      </c>
      <c r="H36" s="4" t="inlineStr">
        <is>
          <t>持续爆款作者</t>
        </is>
      </c>
    </row>
    <row r="37">
      <c r="A37" s="4" t="n">
        <v>36</v>
      </c>
      <c r="B37" s="6" t="inlineStr">
        <is>
          <t>雅楚甄选</t>
        </is>
      </c>
      <c r="C37" s="4" t="n">
        <v>13</v>
      </c>
      <c r="D37" s="4" t="n">
        <v>3</v>
      </c>
      <c r="E37" s="4" t="n">
        <v>23.1</v>
      </c>
      <c r="F37" s="4" t="n">
        <v>18089.85</v>
      </c>
      <c r="G37" s="4" t="n">
        <v>49403</v>
      </c>
      <c r="H37" s="4" t="inlineStr">
        <is>
          <t>持续爆款作者</t>
        </is>
      </c>
    </row>
    <row r="38">
      <c r="A38" s="4" t="n">
        <v>37</v>
      </c>
      <c r="B38" s="6" t="inlineStr">
        <is>
          <t>次第&amp;花开</t>
        </is>
      </c>
      <c r="C38" s="4" t="n">
        <v>3</v>
      </c>
      <c r="D38" s="4" t="n">
        <v>3</v>
      </c>
      <c r="E38" s="4" t="n">
        <v>100</v>
      </c>
      <c r="F38" s="4" t="n">
        <v>33379</v>
      </c>
      <c r="G38" s="4" t="n">
        <v>33379</v>
      </c>
      <c r="H38" s="4" t="inlineStr">
        <is>
          <t>持续爆款作者</t>
        </is>
      </c>
    </row>
    <row r="39">
      <c r="A39" s="4" t="n">
        <v>38</v>
      </c>
      <c r="B39" s="6" t="inlineStr">
        <is>
          <t>我是毛建庭</t>
        </is>
      </c>
      <c r="C39" s="4" t="n">
        <v>14</v>
      </c>
      <c r="D39" s="4" t="n">
        <v>3</v>
      </c>
      <c r="E39" s="4" t="n">
        <v>21.4</v>
      </c>
      <c r="F39" s="4" t="n">
        <v>14018.57</v>
      </c>
      <c r="G39" s="4" t="n">
        <v>77724</v>
      </c>
      <c r="H39" s="4" t="inlineStr">
        <is>
          <t>持续爆款作者</t>
        </is>
      </c>
    </row>
    <row r="40">
      <c r="A40" s="4" t="n">
        <v>39</v>
      </c>
      <c r="B40" s="6" t="inlineStr">
        <is>
          <t>保德全</t>
        </is>
      </c>
      <c r="C40" s="4" t="n">
        <v>3</v>
      </c>
      <c r="D40" s="4" t="n">
        <v>3</v>
      </c>
      <c r="E40" s="4" t="n">
        <v>100</v>
      </c>
      <c r="F40" s="4" t="n">
        <v>31345.33</v>
      </c>
      <c r="G40" s="4" t="n">
        <v>31346</v>
      </c>
      <c r="H40" s="4" t="inlineStr">
        <is>
          <t>持续爆款作者</t>
        </is>
      </c>
    </row>
    <row r="41">
      <c r="A41" s="4" t="n">
        <v>40</v>
      </c>
      <c r="B41" s="6" t="inlineStr">
        <is>
          <t>冷酷</t>
        </is>
      </c>
      <c r="C41" s="4" t="n">
        <v>3</v>
      </c>
      <c r="D41" s="4" t="n">
        <v>3</v>
      </c>
      <c r="E41" s="4" t="n">
        <v>100</v>
      </c>
      <c r="F41" s="4" t="n">
        <v>52310</v>
      </c>
      <c r="G41" s="4" t="n">
        <v>52310</v>
      </c>
      <c r="H41" s="4" t="inlineStr">
        <is>
          <t>持续爆款作者</t>
        </is>
      </c>
    </row>
    <row r="42">
      <c r="A42" s="4" t="n">
        <v>41</v>
      </c>
      <c r="B42" s="6" t="inlineStr">
        <is>
          <t>Tina田甜（在非洲</t>
        </is>
      </c>
      <c r="C42" s="4" t="n">
        <v>4</v>
      </c>
      <c r="D42" s="4" t="n">
        <v>3</v>
      </c>
      <c r="E42" s="4" t="n">
        <v>75</v>
      </c>
      <c r="F42" s="4" t="n">
        <v>46368.5</v>
      </c>
      <c r="G42" s="4" t="n">
        <v>108603</v>
      </c>
      <c r="H42" s="4" t="inlineStr">
        <is>
          <t>持续爆款作者</t>
        </is>
      </c>
    </row>
    <row r="43">
      <c r="A43" s="4" t="n">
        <v>42</v>
      </c>
      <c r="B43" s="6" t="inlineStr">
        <is>
          <t>老崔在非洲🌍</t>
        </is>
      </c>
      <c r="C43" s="4" t="n">
        <v>4</v>
      </c>
      <c r="D43" s="4" t="n">
        <v>3</v>
      </c>
      <c r="E43" s="4" t="n">
        <v>75</v>
      </c>
      <c r="F43" s="4" t="n">
        <v>202481</v>
      </c>
      <c r="G43" s="4" t="n">
        <v>736112</v>
      </c>
      <c r="H43" s="4" t="inlineStr">
        <is>
          <t>持续爆款作者</t>
        </is>
      </c>
    </row>
    <row r="44">
      <c r="A44" s="4" t="n">
        <v>43</v>
      </c>
      <c r="B44" s="6" t="inlineStr">
        <is>
          <t>人民日报</t>
        </is>
      </c>
      <c r="C44" s="4" t="n">
        <v>3</v>
      </c>
      <c r="D44" s="4" t="n">
        <v>3</v>
      </c>
      <c r="E44" s="4" t="n">
        <v>100</v>
      </c>
      <c r="F44" s="4" t="n">
        <v>386437</v>
      </c>
      <c r="G44" s="4" t="n">
        <v>732109</v>
      </c>
      <c r="H44" s="4" t="inlineStr">
        <is>
          <t>持续爆款作者</t>
        </is>
      </c>
    </row>
    <row r="45">
      <c r="A45" s="4" t="n">
        <v>44</v>
      </c>
      <c r="B45" s="6" t="inlineStr">
        <is>
          <t>张小丫在非洲</t>
        </is>
      </c>
      <c r="C45" s="4" t="n">
        <v>45</v>
      </c>
      <c r="D45" s="4" t="n">
        <v>2</v>
      </c>
      <c r="E45" s="4" t="n">
        <v>4.4</v>
      </c>
      <c r="F45" s="4" t="n">
        <v>12850.31</v>
      </c>
      <c r="G45" s="4" t="n">
        <v>344293</v>
      </c>
      <c r="H45" s="4" t="inlineStr">
        <is>
          <t>偶尔爆款</t>
        </is>
      </c>
    </row>
    <row r="46">
      <c r="A46" s="4" t="n">
        <v>45</v>
      </c>
      <c r="B46" s="6" t="inlineStr">
        <is>
          <t>朱可莽夫</t>
        </is>
      </c>
      <c r="C46" s="4" t="n">
        <v>2</v>
      </c>
      <c r="D46" s="4" t="n">
        <v>2</v>
      </c>
      <c r="E46" s="4" t="n">
        <v>100</v>
      </c>
      <c r="F46" s="4" t="n">
        <v>35088.5</v>
      </c>
      <c r="G46" s="4" t="n">
        <v>35090</v>
      </c>
      <c r="H46" s="4" t="inlineStr">
        <is>
          <t>偶尔爆款</t>
        </is>
      </c>
    </row>
    <row r="47">
      <c r="A47" s="4" t="n">
        <v>46</v>
      </c>
      <c r="B47" s="6" t="inlineStr">
        <is>
          <t>老马捞非洲</t>
        </is>
      </c>
      <c r="C47" s="4" t="n">
        <v>15</v>
      </c>
      <c r="D47" s="4" t="n">
        <v>2</v>
      </c>
      <c r="E47" s="4" t="n">
        <v>13.3</v>
      </c>
      <c r="F47" s="4" t="n">
        <v>14030.73</v>
      </c>
      <c r="G47" s="4" t="n">
        <v>61284</v>
      </c>
      <c r="H47" s="4" t="inlineStr">
        <is>
          <t>偶尔爆款</t>
        </is>
      </c>
    </row>
    <row r="48">
      <c r="A48" s="4" t="n">
        <v>47</v>
      </c>
      <c r="B48" s="6" t="inlineStr">
        <is>
          <t>战术复盘师</t>
        </is>
      </c>
      <c r="C48" s="4" t="n">
        <v>2</v>
      </c>
      <c r="D48" s="4" t="n">
        <v>2</v>
      </c>
      <c r="E48" s="4" t="n">
        <v>100</v>
      </c>
      <c r="F48" s="4" t="n">
        <v>116672</v>
      </c>
      <c r="G48" s="4" t="n">
        <v>116672</v>
      </c>
      <c r="H48" s="4" t="inlineStr">
        <is>
          <t>偶尔爆款</t>
        </is>
      </c>
    </row>
    <row r="49">
      <c r="A49" s="4" t="n">
        <v>48</v>
      </c>
      <c r="B49" s="6" t="inlineStr">
        <is>
          <t>小喵视界</t>
        </is>
      </c>
      <c r="C49" s="4" t="n">
        <v>3</v>
      </c>
      <c r="D49" s="4" t="n">
        <v>2</v>
      </c>
      <c r="E49" s="4" t="n">
        <v>66.7</v>
      </c>
      <c r="F49" s="4" t="n">
        <v>85430.33</v>
      </c>
      <c r="G49" s="4" t="n">
        <v>158402</v>
      </c>
      <c r="H49" s="4" t="inlineStr">
        <is>
          <t>偶尔爆款</t>
        </is>
      </c>
    </row>
    <row r="50">
      <c r="A50" s="4" t="n">
        <v>49</v>
      </c>
      <c r="B50" s="6" t="inlineStr">
        <is>
          <t>杨一面对面</t>
        </is>
      </c>
      <c r="C50" s="4" t="n">
        <v>2</v>
      </c>
      <c r="D50" s="4" t="n">
        <v>2</v>
      </c>
      <c r="E50" s="4" t="n">
        <v>100</v>
      </c>
      <c r="F50" s="4" t="n">
        <v>81035.5</v>
      </c>
      <c r="G50" s="4" t="n">
        <v>90601</v>
      </c>
      <c r="H50" s="4" t="inlineStr">
        <is>
          <t>偶尔爆款</t>
        </is>
      </c>
    </row>
    <row r="51">
      <c r="A51" s="4" t="n">
        <v>50</v>
      </c>
      <c r="B51" s="6" t="inlineStr">
        <is>
          <t>张张别胡说</t>
        </is>
      </c>
      <c r="C51" s="4" t="n">
        <v>2</v>
      </c>
      <c r="D51" s="4" t="n">
        <v>2</v>
      </c>
      <c r="E51" s="4" t="n">
        <v>100</v>
      </c>
      <c r="F51" s="4" t="n">
        <v>352355.5</v>
      </c>
      <c r="G51" s="4" t="n">
        <v>356970</v>
      </c>
      <c r="H51" s="4" t="inlineStr">
        <is>
          <t>偶尔爆款</t>
        </is>
      </c>
    </row>
    <row r="52">
      <c r="A52" s="4" t="n">
        <v>51</v>
      </c>
      <c r="B52" s="6" t="inlineStr">
        <is>
          <t>看看新闻Knews</t>
        </is>
      </c>
      <c r="C52" s="4" t="n">
        <v>3</v>
      </c>
      <c r="D52" s="4" t="n">
        <v>2</v>
      </c>
      <c r="E52" s="4" t="n">
        <v>66.7</v>
      </c>
      <c r="F52" s="4" t="n">
        <v>59786</v>
      </c>
      <c r="G52" s="4" t="n">
        <v>117948</v>
      </c>
      <c r="H52" s="4" t="inlineStr">
        <is>
          <t>偶尔爆款</t>
        </is>
      </c>
    </row>
    <row r="53">
      <c r="A53" s="4" t="n">
        <v>52</v>
      </c>
      <c r="B53" s="6" t="inlineStr">
        <is>
          <t>拔冰鱼</t>
        </is>
      </c>
      <c r="C53" s="4" t="n">
        <v>6</v>
      </c>
      <c r="D53" s="4" t="n">
        <v>2</v>
      </c>
      <c r="E53" s="4" t="n">
        <v>33.3</v>
      </c>
      <c r="F53" s="4" t="n">
        <v>19153.83</v>
      </c>
      <c r="G53" s="4" t="n">
        <v>55318</v>
      </c>
      <c r="H53" s="4" t="inlineStr">
        <is>
          <t>偶尔爆款</t>
        </is>
      </c>
    </row>
    <row r="54">
      <c r="A54" s="4" t="n">
        <v>53</v>
      </c>
      <c r="B54" s="6" t="inlineStr">
        <is>
          <t>广州服装圈-加一块</t>
        </is>
      </c>
      <c r="C54" s="4" t="n">
        <v>2</v>
      </c>
      <c r="D54" s="4" t="n">
        <v>2</v>
      </c>
      <c r="E54" s="4" t="n">
        <v>100</v>
      </c>
      <c r="F54" s="4" t="n">
        <v>117799.5</v>
      </c>
      <c r="G54" s="4" t="n">
        <v>117808</v>
      </c>
      <c r="H54" s="4" t="inlineStr">
        <is>
          <t>偶尔爆款</t>
        </is>
      </c>
    </row>
    <row r="55">
      <c r="A55" s="4" t="n">
        <v>54</v>
      </c>
      <c r="B55" s="6" t="inlineStr">
        <is>
          <t>尚致胜幸福学</t>
        </is>
      </c>
      <c r="C55" s="4" t="n">
        <v>3</v>
      </c>
      <c r="D55" s="4" t="n">
        <v>2</v>
      </c>
      <c r="E55" s="4" t="n">
        <v>66.7</v>
      </c>
      <c r="F55" s="4" t="n">
        <v>34643.33</v>
      </c>
      <c r="G55" s="4" t="n">
        <v>43279</v>
      </c>
      <c r="H55" s="4" t="inlineStr">
        <is>
          <t>偶尔爆款</t>
        </is>
      </c>
    </row>
    <row r="56">
      <c r="A56" s="4" t="n">
        <v>55</v>
      </c>
      <c r="B56" s="6" t="inlineStr">
        <is>
          <t>大象新闻</t>
        </is>
      </c>
      <c r="C56" s="4" t="n">
        <v>4</v>
      </c>
      <c r="D56" s="4" t="n">
        <v>2</v>
      </c>
      <c r="E56" s="4" t="n">
        <v>50</v>
      </c>
      <c r="F56" s="4" t="n">
        <v>57429</v>
      </c>
      <c r="G56" s="4" t="n">
        <v>174887</v>
      </c>
      <c r="H56" s="4" t="inlineStr">
        <is>
          <t>偶尔爆款</t>
        </is>
      </c>
    </row>
    <row r="57">
      <c r="A57" s="4" t="n">
        <v>56</v>
      </c>
      <c r="B57" s="6" t="inlineStr">
        <is>
          <t>环球网</t>
        </is>
      </c>
      <c r="C57" s="4" t="n">
        <v>4</v>
      </c>
      <c r="D57" s="4" t="n">
        <v>2</v>
      </c>
      <c r="E57" s="4" t="n">
        <v>50</v>
      </c>
      <c r="F57" s="4" t="n">
        <v>75908</v>
      </c>
      <c r="G57" s="4" t="n">
        <v>166752</v>
      </c>
      <c r="H57" s="4" t="inlineStr">
        <is>
          <t>偶尔爆款</t>
        </is>
      </c>
    </row>
    <row r="58">
      <c r="A58" s="4" t="n">
        <v>57</v>
      </c>
      <c r="B58" s="6" t="inlineStr">
        <is>
          <t>娱小二</t>
        </is>
      </c>
      <c r="C58" s="4" t="n">
        <v>2</v>
      </c>
      <c r="D58" s="4" t="n">
        <v>2</v>
      </c>
      <c r="E58" s="4" t="n">
        <v>100</v>
      </c>
      <c r="F58" s="4" t="n">
        <v>173449.5</v>
      </c>
      <c r="G58" s="4" t="n">
        <v>173450</v>
      </c>
      <c r="H58" s="4" t="inlineStr">
        <is>
          <t>偶尔爆款</t>
        </is>
      </c>
    </row>
    <row r="59">
      <c r="A59" s="4" t="n">
        <v>58</v>
      </c>
      <c r="B59" s="6" t="inlineStr">
        <is>
          <t>娱乐鲜报</t>
        </is>
      </c>
      <c r="C59" s="4" t="n">
        <v>2</v>
      </c>
      <c r="D59" s="4" t="n">
        <v>2</v>
      </c>
      <c r="E59" s="4" t="n">
        <v>100</v>
      </c>
      <c r="F59" s="4" t="n">
        <v>130963</v>
      </c>
      <c r="G59" s="4" t="n">
        <v>130963</v>
      </c>
      <c r="H59" s="4" t="inlineStr">
        <is>
          <t>偶尔爆款</t>
        </is>
      </c>
    </row>
    <row r="60">
      <c r="A60" s="4" t="n">
        <v>59</v>
      </c>
      <c r="B60" s="6" t="inlineStr">
        <is>
          <t>毒舌妈妈</t>
        </is>
      </c>
      <c r="C60" s="4" t="n">
        <v>2</v>
      </c>
      <c r="D60" s="4" t="n">
        <v>2</v>
      </c>
      <c r="E60" s="4" t="n">
        <v>100</v>
      </c>
      <c r="F60" s="4" t="n">
        <v>39072</v>
      </c>
      <c r="G60" s="4" t="n">
        <v>39073</v>
      </c>
      <c r="H60" s="4" t="inlineStr">
        <is>
          <t>偶尔爆款</t>
        </is>
      </c>
    </row>
    <row r="61">
      <c r="A61" s="4" t="n">
        <v>60</v>
      </c>
      <c r="B61" s="6" t="inlineStr">
        <is>
          <t>李小意深度观察</t>
        </is>
      </c>
      <c r="C61" s="4" t="n">
        <v>2</v>
      </c>
      <c r="D61" s="4" t="n">
        <v>2</v>
      </c>
      <c r="E61" s="4" t="n">
        <v>100</v>
      </c>
      <c r="F61" s="4" t="n">
        <v>152728.5</v>
      </c>
      <c r="G61" s="4" t="n">
        <v>152761</v>
      </c>
      <c r="H61" s="4" t="inlineStr">
        <is>
          <t>偶尔爆款</t>
        </is>
      </c>
    </row>
    <row r="62">
      <c r="A62" s="4" t="n">
        <v>61</v>
      </c>
      <c r="B62" s="6" t="inlineStr">
        <is>
          <t>小米儿</t>
        </is>
      </c>
      <c r="C62" s="4" t="n">
        <v>4</v>
      </c>
      <c r="D62" s="4" t="n">
        <v>2</v>
      </c>
      <c r="E62" s="4" t="n">
        <v>50</v>
      </c>
      <c r="F62" s="4" t="n">
        <v>26354.5</v>
      </c>
      <c r="G62" s="4" t="n">
        <v>44043</v>
      </c>
      <c r="H62" s="4" t="inlineStr">
        <is>
          <t>偶尔爆款</t>
        </is>
      </c>
    </row>
    <row r="63">
      <c r="A63" s="4" t="n">
        <v>62</v>
      </c>
      <c r="B63" s="6" t="inlineStr">
        <is>
          <t>李树勇书场</t>
        </is>
      </c>
      <c r="C63" s="4" t="n">
        <v>2</v>
      </c>
      <c r="D63" s="4" t="n">
        <v>2</v>
      </c>
      <c r="E63" s="4" t="n">
        <v>100</v>
      </c>
      <c r="F63" s="4" t="n">
        <v>95181</v>
      </c>
      <c r="G63" s="4" t="n">
        <v>95181</v>
      </c>
      <c r="H63" s="4" t="inlineStr">
        <is>
          <t>偶尔爆款</t>
        </is>
      </c>
    </row>
    <row r="64">
      <c r="A64" s="4" t="n">
        <v>63</v>
      </c>
      <c r="B64" s="6" t="inlineStr">
        <is>
          <t>野生大脸猫</t>
        </is>
      </c>
      <c r="C64" s="4" t="n">
        <v>5</v>
      </c>
      <c r="D64" s="4" t="n">
        <v>2</v>
      </c>
      <c r="E64" s="4" t="n">
        <v>40</v>
      </c>
      <c r="F64" s="4" t="n">
        <v>23206.8</v>
      </c>
      <c r="G64" s="4" t="n">
        <v>33947</v>
      </c>
      <c r="H64" s="4" t="inlineStr">
        <is>
          <t>偶尔爆款</t>
        </is>
      </c>
    </row>
    <row r="65">
      <c r="A65" s="4" t="n">
        <v>64</v>
      </c>
      <c r="B65" s="6" t="inlineStr">
        <is>
          <t>天蓝足球（赛事速报）</t>
        </is>
      </c>
      <c r="C65" s="4" t="n">
        <v>2</v>
      </c>
      <c r="D65" s="4" t="n">
        <v>2</v>
      </c>
      <c r="E65" s="4" t="n">
        <v>100</v>
      </c>
      <c r="F65" s="4" t="n">
        <v>126893.5</v>
      </c>
      <c r="G65" s="4" t="n">
        <v>219937</v>
      </c>
      <c r="H65" s="4" t="inlineStr">
        <is>
          <t>偶尔爆款</t>
        </is>
      </c>
    </row>
    <row r="66">
      <c r="A66" s="4" t="n">
        <v>65</v>
      </c>
      <c r="B66" s="6" t="inlineStr">
        <is>
          <t>元飞在非洲</t>
        </is>
      </c>
      <c r="C66" s="4" t="n">
        <v>15</v>
      </c>
      <c r="D66" s="4" t="n">
        <v>2</v>
      </c>
      <c r="E66" s="4" t="n">
        <v>13.3</v>
      </c>
      <c r="F66" s="4" t="n">
        <v>11623.47</v>
      </c>
      <c r="G66" s="4" t="n">
        <v>55075</v>
      </c>
      <c r="H66" s="4" t="inlineStr">
        <is>
          <t>偶尔爆款</t>
        </is>
      </c>
    </row>
    <row r="67">
      <c r="A67" s="4" t="n">
        <v>66</v>
      </c>
      <c r="B67" s="6" t="inlineStr">
        <is>
          <t>大力出海圈</t>
        </is>
      </c>
      <c r="C67" s="4" t="n">
        <v>2</v>
      </c>
      <c r="D67" s="4" t="n">
        <v>2</v>
      </c>
      <c r="E67" s="4" t="n">
        <v>100</v>
      </c>
      <c r="F67" s="4" t="n">
        <v>38826</v>
      </c>
      <c r="G67" s="4" t="n">
        <v>38826</v>
      </c>
      <c r="H67" s="4" t="inlineStr">
        <is>
          <t>偶尔爆款</t>
        </is>
      </c>
    </row>
    <row r="68">
      <c r="A68" s="4" t="n">
        <v>67</v>
      </c>
      <c r="B68" s="6" t="inlineStr">
        <is>
          <t>小北在埃及创业</t>
        </is>
      </c>
      <c r="C68" s="4" t="n">
        <v>13</v>
      </c>
      <c r="D68" s="4" t="n">
        <v>2</v>
      </c>
      <c r="E68" s="4" t="n">
        <v>15.4</v>
      </c>
      <c r="F68" s="4" t="n">
        <v>25150.62</v>
      </c>
      <c r="G68" s="4" t="n">
        <v>155342</v>
      </c>
      <c r="H68" s="4" t="inlineStr">
        <is>
          <t>偶尔爆款</t>
        </is>
      </c>
    </row>
    <row r="69">
      <c r="A69" s="4" t="n">
        <v>68</v>
      </c>
      <c r="B69" s="6" t="inlineStr">
        <is>
          <t>丹阳帮</t>
        </is>
      </c>
      <c r="C69" s="4" t="n">
        <v>2</v>
      </c>
      <c r="D69" s="4" t="n">
        <v>2</v>
      </c>
      <c r="E69" s="4" t="n">
        <v>100</v>
      </c>
      <c r="F69" s="4" t="n">
        <v>30659</v>
      </c>
      <c r="G69" s="4" t="n">
        <v>30659</v>
      </c>
      <c r="H69" s="4" t="inlineStr">
        <is>
          <t>偶尔爆款</t>
        </is>
      </c>
    </row>
    <row r="70">
      <c r="A70" s="4" t="n">
        <v>69</v>
      </c>
      <c r="B70" s="6" t="inlineStr">
        <is>
          <t>零一秒</t>
        </is>
      </c>
      <c r="C70" s="4" t="n">
        <v>2</v>
      </c>
      <c r="D70" s="4" t="n">
        <v>2</v>
      </c>
      <c r="E70" s="4" t="n">
        <v>100</v>
      </c>
      <c r="F70" s="4" t="n">
        <v>136747.5</v>
      </c>
      <c r="G70" s="4" t="n">
        <v>136769</v>
      </c>
      <c r="H70" s="4" t="inlineStr">
        <is>
          <t>偶尔爆款</t>
        </is>
      </c>
    </row>
    <row r="71">
      <c r="A71" s="4" t="n">
        <v>70</v>
      </c>
      <c r="B71" s="6" t="inlineStr">
        <is>
          <t>爆爆桐光记</t>
        </is>
      </c>
      <c r="C71" s="4" t="n">
        <v>2</v>
      </c>
      <c r="D71" s="4" t="n">
        <v>2</v>
      </c>
      <c r="E71" s="4" t="n">
        <v>100</v>
      </c>
      <c r="F71" s="4" t="n">
        <v>54564.5</v>
      </c>
      <c r="G71" s="4" t="n">
        <v>54575</v>
      </c>
      <c r="H71" s="4" t="inlineStr">
        <is>
          <t>偶尔爆款</t>
        </is>
      </c>
    </row>
    <row r="72">
      <c r="A72" s="4" t="n">
        <v>71</v>
      </c>
      <c r="B72" s="6" t="inlineStr">
        <is>
          <t>天鹰座裂缝外</t>
        </is>
      </c>
      <c r="C72" s="4" t="n">
        <v>2</v>
      </c>
      <c r="D72" s="4" t="n">
        <v>2</v>
      </c>
      <c r="E72" s="4" t="n">
        <v>100</v>
      </c>
      <c r="F72" s="4" t="n">
        <v>129948.5</v>
      </c>
      <c r="G72" s="4" t="n">
        <v>201470</v>
      </c>
      <c r="H72" s="4" t="inlineStr">
        <is>
          <t>偶尔爆款</t>
        </is>
      </c>
    </row>
    <row r="73">
      <c r="A73" s="4" t="n">
        <v>72</v>
      </c>
      <c r="B73" s="6" t="inlineStr">
        <is>
          <t>苏菲的野生旅行</t>
        </is>
      </c>
      <c r="C73" s="4" t="n">
        <v>5</v>
      </c>
      <c r="D73" s="4" t="n">
        <v>2</v>
      </c>
      <c r="E73" s="4" t="n">
        <v>40</v>
      </c>
      <c r="F73" s="4" t="n">
        <v>26777.6</v>
      </c>
      <c r="G73" s="4" t="n">
        <v>31630</v>
      </c>
      <c r="H73" s="4" t="inlineStr">
        <is>
          <t>偶尔爆款</t>
        </is>
      </c>
    </row>
    <row r="74">
      <c r="A74" s="4" t="n">
        <v>73</v>
      </c>
      <c r="B74" s="6" t="inlineStr">
        <is>
          <t>蜀骏老唐</t>
        </is>
      </c>
      <c r="C74" s="4" t="n">
        <v>2</v>
      </c>
      <c r="D74" s="4" t="n">
        <v>2</v>
      </c>
      <c r="E74" s="4" t="n">
        <v>100</v>
      </c>
      <c r="F74" s="4" t="n">
        <v>376670</v>
      </c>
      <c r="G74" s="4" t="n">
        <v>442442</v>
      </c>
      <c r="H74" s="4" t="inlineStr">
        <is>
          <t>偶尔爆款</t>
        </is>
      </c>
    </row>
    <row r="75">
      <c r="A75" s="4" t="n">
        <v>74</v>
      </c>
      <c r="B75" s="6" t="inlineStr">
        <is>
          <t>黑眼体育</t>
        </is>
      </c>
      <c r="C75" s="4" t="n">
        <v>2</v>
      </c>
      <c r="D75" s="4" t="n">
        <v>2</v>
      </c>
      <c r="E75" s="4" t="n">
        <v>100</v>
      </c>
      <c r="F75" s="4" t="n">
        <v>173779.5</v>
      </c>
      <c r="G75" s="4" t="n">
        <v>293996</v>
      </c>
      <c r="H75" s="4" t="inlineStr">
        <is>
          <t>偶尔爆款</t>
        </is>
      </c>
    </row>
    <row r="76">
      <c r="A76" s="4" t="n">
        <v>75</v>
      </c>
      <c r="B76" s="6" t="inlineStr">
        <is>
          <t>灵灵不内耗</t>
        </is>
      </c>
      <c r="C76" s="4" t="n">
        <v>7</v>
      </c>
      <c r="D76" s="4" t="n">
        <v>2</v>
      </c>
      <c r="E76" s="4" t="n">
        <v>28.6</v>
      </c>
      <c r="F76" s="4" t="n">
        <v>41389.86</v>
      </c>
      <c r="G76" s="4" t="n">
        <v>118042</v>
      </c>
      <c r="H76" s="4" t="inlineStr">
        <is>
          <t>偶尔爆款</t>
        </is>
      </c>
    </row>
    <row r="77">
      <c r="A77" s="4" t="n">
        <v>76</v>
      </c>
      <c r="B77" s="6" t="inlineStr">
        <is>
          <t>崔磊-为思考点赞</t>
        </is>
      </c>
      <c r="C77" s="4" t="n">
        <v>2</v>
      </c>
      <c r="D77" s="4" t="n">
        <v>2</v>
      </c>
      <c r="E77" s="4" t="n">
        <v>100</v>
      </c>
      <c r="F77" s="4" t="n">
        <v>314093.5</v>
      </c>
      <c r="G77" s="4" t="n">
        <v>480496</v>
      </c>
      <c r="H77" s="4" t="inlineStr">
        <is>
          <t>偶尔爆款</t>
        </is>
      </c>
    </row>
    <row r="78">
      <c r="A78" s="4" t="n">
        <v>77</v>
      </c>
      <c r="B78" s="6" t="inlineStr">
        <is>
          <t>绝境档案</t>
        </is>
      </c>
      <c r="C78" s="4" t="n">
        <v>2</v>
      </c>
      <c r="D78" s="4" t="n">
        <v>2</v>
      </c>
      <c r="E78" s="4" t="n">
        <v>100</v>
      </c>
      <c r="F78" s="4" t="n">
        <v>78267</v>
      </c>
      <c r="G78" s="4" t="n">
        <v>78267</v>
      </c>
      <c r="H78" s="4" t="inlineStr">
        <is>
          <t>偶尔爆款</t>
        </is>
      </c>
    </row>
    <row r="79">
      <c r="A79" s="4" t="n">
        <v>78</v>
      </c>
      <c r="B79" s="6" t="inlineStr">
        <is>
          <t>津龙哥</t>
        </is>
      </c>
      <c r="C79" s="4" t="n">
        <v>9</v>
      </c>
      <c r="D79" s="4" t="n">
        <v>2</v>
      </c>
      <c r="E79" s="4" t="n">
        <v>22.2</v>
      </c>
      <c r="F79" s="4" t="n">
        <v>10610.67</v>
      </c>
      <c r="G79" s="4" t="n">
        <v>30194</v>
      </c>
      <c r="H79" s="4" t="inlineStr">
        <is>
          <t>偶尔爆款</t>
        </is>
      </c>
    </row>
    <row r="80">
      <c r="A80" s="4" t="n">
        <v>79</v>
      </c>
      <c r="B80" s="6" t="inlineStr">
        <is>
          <t>嗑普说</t>
        </is>
      </c>
      <c r="C80" s="4" t="n">
        <v>3</v>
      </c>
      <c r="D80" s="4" t="n">
        <v>2</v>
      </c>
      <c r="E80" s="4" t="n">
        <v>66.7</v>
      </c>
      <c r="F80" s="4" t="n">
        <v>35057.33</v>
      </c>
      <c r="G80" s="4" t="n">
        <v>67447</v>
      </c>
      <c r="H80" s="4" t="inlineStr">
        <is>
          <t>偶尔爆款</t>
        </is>
      </c>
    </row>
    <row r="81">
      <c r="A81" s="4" t="n">
        <v>80</v>
      </c>
      <c r="B81" s="6" t="inlineStr">
        <is>
          <t>老腾在非洲🌍</t>
        </is>
      </c>
      <c r="C81" s="4" t="n">
        <v>2</v>
      </c>
      <c r="D81" s="4" t="n">
        <v>2</v>
      </c>
      <c r="E81" s="4" t="n">
        <v>100</v>
      </c>
      <c r="F81" s="4" t="n">
        <v>107612</v>
      </c>
      <c r="G81" s="4" t="n">
        <v>107612</v>
      </c>
      <c r="H81" s="4" t="inlineStr">
        <is>
          <t>偶尔爆款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9" customWidth="1" min="4" max="4"/>
    <col width="7" customWidth="1" min="5" max="5"/>
  </cols>
  <sheetData>
    <row r="1">
      <c r="A1" s="1" t="inlineStr">
        <is>
          <t>时间段</t>
        </is>
      </c>
      <c r="B1" s="1" t="inlineStr">
        <is>
          <t>视频数</t>
        </is>
      </c>
      <c r="C1" s="1" t="inlineStr">
        <is>
          <t>爆款数</t>
        </is>
      </c>
      <c r="D1" s="1" t="inlineStr">
        <is>
          <t>爆款率(%)</t>
        </is>
      </c>
      <c r="E1" s="1" t="inlineStr">
        <is>
          <t>判断</t>
        </is>
      </c>
    </row>
    <row r="2">
      <c r="A2" s="4" t="inlineStr">
        <is>
          <t>周一</t>
        </is>
      </c>
      <c r="B2" s="4" t="n">
        <v>501</v>
      </c>
      <c r="C2" s="4" t="n">
        <v>61</v>
      </c>
      <c r="D2" s="4" t="n">
        <v>12.2</v>
      </c>
      <c r="E2" s="4" t="inlineStr">
        <is>
          <t>高爆款率</t>
        </is>
      </c>
    </row>
    <row r="3">
      <c r="A3" s="4" t="inlineStr">
        <is>
          <t>周二</t>
        </is>
      </c>
      <c r="B3" s="4" t="n">
        <v>612</v>
      </c>
      <c r="C3" s="4" t="n">
        <v>75</v>
      </c>
      <c r="D3" s="4" t="n">
        <v>12.3</v>
      </c>
      <c r="E3" s="4" t="inlineStr">
        <is>
          <t>高爆款率</t>
        </is>
      </c>
    </row>
    <row r="4">
      <c r="A4" s="4" t="inlineStr">
        <is>
          <t>周三</t>
        </is>
      </c>
      <c r="B4" s="4" t="n">
        <v>676</v>
      </c>
      <c r="C4" s="4" t="n">
        <v>66</v>
      </c>
      <c r="D4" s="4" t="n">
        <v>9.800000000000001</v>
      </c>
      <c r="E4" s="4" t="inlineStr">
        <is>
          <t>中等</t>
        </is>
      </c>
    </row>
    <row r="5">
      <c r="A5" s="4" t="inlineStr">
        <is>
          <t>周四</t>
        </is>
      </c>
      <c r="B5" s="4" t="n">
        <v>1359</v>
      </c>
      <c r="C5" s="4" t="n">
        <v>70</v>
      </c>
      <c r="D5" s="4" t="n">
        <v>5.2</v>
      </c>
      <c r="E5" s="4" t="inlineStr">
        <is>
          <t>低</t>
        </is>
      </c>
    </row>
    <row r="6">
      <c r="A6" s="4" t="inlineStr">
        <is>
          <t>周五</t>
        </is>
      </c>
      <c r="B6" s="4" t="n">
        <v>776</v>
      </c>
      <c r="C6" s="4" t="n">
        <v>73</v>
      </c>
      <c r="D6" s="4" t="n">
        <v>9.4</v>
      </c>
      <c r="E6" s="4" t="inlineStr">
        <is>
          <t>中等</t>
        </is>
      </c>
    </row>
    <row r="7">
      <c r="A7" s="4" t="inlineStr">
        <is>
          <t>周六</t>
        </is>
      </c>
      <c r="B7" s="4" t="n">
        <v>541</v>
      </c>
      <c r="C7" s="4" t="n">
        <v>88</v>
      </c>
      <c r="D7" s="4" t="n">
        <v>16.3</v>
      </c>
      <c r="E7" s="4" t="inlineStr">
        <is>
          <t>高爆款率</t>
        </is>
      </c>
    </row>
    <row r="8">
      <c r="A8" s="4" t="inlineStr">
        <is>
          <t>周日</t>
        </is>
      </c>
      <c r="B8" s="4" t="n">
        <v>433</v>
      </c>
      <c r="C8" s="4" t="n">
        <v>56</v>
      </c>
      <c r="D8" s="4" t="n">
        <v>12.9</v>
      </c>
      <c r="E8" s="4" t="inlineStr">
        <is>
          <t>高爆款率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6" customWidth="1" min="3" max="3"/>
    <col width="9" customWidth="1" min="4" max="4"/>
    <col width="5" customWidth="1" min="5" max="5"/>
  </cols>
  <sheetData>
    <row r="1">
      <c r="A1" s="1" t="inlineStr">
        <is>
          <t>时段</t>
        </is>
      </c>
      <c r="B1" s="1" t="inlineStr">
        <is>
          <t>视频数</t>
        </is>
      </c>
      <c r="C1" s="1" t="inlineStr">
        <is>
          <t>爆款数</t>
        </is>
      </c>
      <c r="D1" s="1" t="inlineStr">
        <is>
          <t>爆款率(%)</t>
        </is>
      </c>
      <c r="E1" s="1" t="inlineStr">
        <is>
          <t>判断</t>
        </is>
      </c>
    </row>
    <row r="2">
      <c r="A2" s="4" t="inlineStr">
        <is>
          <t>凌晨 0-4点</t>
        </is>
      </c>
      <c r="B2" s="4" t="n">
        <v>380</v>
      </c>
      <c r="C2" s="4" t="n">
        <v>12</v>
      </c>
      <c r="D2" s="4" t="n">
        <v>3.2</v>
      </c>
      <c r="E2" s="4" t="inlineStr">
        <is>
          <t>一般</t>
        </is>
      </c>
    </row>
    <row r="3">
      <c r="A3" s="4" t="inlineStr">
        <is>
          <t>清晨 4-8点</t>
        </is>
      </c>
      <c r="B3" s="4" t="n">
        <v>471</v>
      </c>
      <c r="C3" s="4" t="n">
        <v>41</v>
      </c>
      <c r="D3" s="4" t="n">
        <v>8.699999999999999</v>
      </c>
      <c r="E3" s="4" t="inlineStr">
        <is>
          <t>良好</t>
        </is>
      </c>
    </row>
    <row r="4">
      <c r="A4" s="4" t="inlineStr">
        <is>
          <t>上午 8-12点</t>
        </is>
      </c>
      <c r="B4" s="4" t="n">
        <v>790</v>
      </c>
      <c r="C4" s="4" t="n">
        <v>85</v>
      </c>
      <c r="D4" s="4" t="n">
        <v>10.8</v>
      </c>
      <c r="E4" s="4" t="inlineStr">
        <is>
          <t>良好</t>
        </is>
      </c>
    </row>
    <row r="5">
      <c r="A5" s="4" t="inlineStr">
        <is>
          <t>下午 12-16点</t>
        </is>
      </c>
      <c r="B5" s="4" t="n">
        <v>791</v>
      </c>
      <c r="C5" s="4" t="n">
        <v>88</v>
      </c>
      <c r="D5" s="4" t="n">
        <v>11.1</v>
      </c>
      <c r="E5" s="4" t="inlineStr">
        <is>
          <t>良好</t>
        </is>
      </c>
    </row>
    <row r="6">
      <c r="A6" s="4" t="inlineStr">
        <is>
          <t>傍晚 16-20点</t>
        </is>
      </c>
      <c r="B6" s="4" t="n">
        <v>1597</v>
      </c>
      <c r="C6" s="4" t="n">
        <v>186</v>
      </c>
      <c r="D6" s="4" t="n">
        <v>11.6</v>
      </c>
      <c r="E6" s="4" t="inlineStr">
        <is>
          <t>良好</t>
        </is>
      </c>
    </row>
    <row r="7">
      <c r="A7" s="4" t="inlineStr">
        <is>
          <t>晚上 20-24点</t>
        </is>
      </c>
      <c r="B7" s="4" t="n">
        <v>869</v>
      </c>
      <c r="C7" s="4" t="n">
        <v>77</v>
      </c>
      <c r="D7" s="4" t="n">
        <v>8.9</v>
      </c>
      <c r="E7" s="4" t="inlineStr">
        <is>
          <t>良好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45" customWidth="1" min="3" max="3"/>
    <col width="8" customWidth="1" min="4" max="4"/>
    <col width="8" customWidth="1" min="5" max="5"/>
    <col width="9" customWidth="1" min="6" max="6"/>
    <col width="7" customWidth="1" min="7" max="7"/>
    <col width="7" customWidth="1" min="8" max="8"/>
    <col width="9" customWidth="1" min="9" max="9"/>
  </cols>
  <sheetData>
    <row r="1">
      <c r="A1" s="1" t="inlineStr">
        <is>
          <t>排名</t>
        </is>
      </c>
      <c r="B1" s="1" t="inlineStr">
        <is>
          <t>作者</t>
        </is>
      </c>
      <c r="C1" s="1" t="inlineStr">
        <is>
          <t>标题</t>
        </is>
      </c>
      <c r="D1" s="1" t="inlineStr">
        <is>
          <t>点赞</t>
        </is>
      </c>
      <c r="E1" s="1" t="inlineStr">
        <is>
          <t>评论</t>
        </is>
      </c>
      <c r="F1" s="1" t="inlineStr">
        <is>
          <t>评论率(%)</t>
        </is>
      </c>
      <c r="G1" s="1" t="inlineStr">
        <is>
          <t>分享</t>
        </is>
      </c>
      <c r="H1" s="1" t="inlineStr">
        <is>
          <t>是否爆款</t>
        </is>
      </c>
      <c r="I1" s="1" t="inlineStr">
        <is>
          <t>内容类型</t>
        </is>
      </c>
    </row>
    <row r="2">
      <c r="A2" s="4" t="n">
        <v>1</v>
      </c>
      <c r="B2" s="7" t="inlineStr">
        <is>
          <t>☪ᝰ🧧阿龙哥🧧࿐</t>
        </is>
      </c>
      <c r="C2" s="7" t="inlineStr">
        <is>
          <t>#缺席美加墨世界杯的球队
#谁是你的意难平</t>
        </is>
      </c>
      <c r="D2" s="4" t="n">
        <v>1263</v>
      </c>
      <c r="E2" s="4" t="n">
        <v>9293</v>
      </c>
      <c r="F2" s="4" t="n">
        <v>735.79</v>
      </c>
      <c r="G2" s="4" t="n">
        <v>74</v>
      </c>
      <c r="H2" s="4" t="inlineStr">
        <is>
          <t>否</t>
        </is>
      </c>
      <c r="I2" s="7" t="inlineStr">
        <is>
          <t>其他</t>
        </is>
      </c>
    </row>
    <row r="3">
      <c r="A3" s="4" t="n">
        <v>2</v>
      </c>
      <c r="B3" s="7" t="inlineStr">
        <is>
          <t>英语·米兰达</t>
        </is>
      </c>
      <c r="C3" s="7" t="inlineStr">
        <is>
          <t>美国相亲。#美国#华人#纽约#洛杉矶#单身</t>
        </is>
      </c>
      <c r="D3" s="4" t="n">
        <v>5</v>
      </c>
      <c r="E3" s="4" t="n">
        <v>34</v>
      </c>
      <c r="F3" s="4" t="n">
        <v>680</v>
      </c>
      <c r="G3" s="4" t="n">
        <v>10</v>
      </c>
      <c r="H3" s="4" t="inlineStr">
        <is>
          <t>否</t>
        </is>
      </c>
      <c r="I3" s="7" t="inlineStr">
        <is>
          <t>其他</t>
        </is>
      </c>
    </row>
    <row r="4">
      <c r="A4" s="4" t="n">
        <v>3</v>
      </c>
      <c r="B4" s="7" t="inlineStr">
        <is>
          <t>德扬加纳🇬🇭托包供应链</t>
        </is>
      </c>
      <c r="C4" s="7" t="inlineStr">
        <is>
          <t>加纳🇬🇭华人互助群有人要进吗。#加纳华人 #加纳生活</t>
        </is>
      </c>
      <c r="D4" s="4" t="n">
        <v>3</v>
      </c>
      <c r="E4" s="4" t="n">
        <v>20</v>
      </c>
      <c r="F4" s="4" t="n">
        <v>666.67</v>
      </c>
      <c r="G4" s="4" t="n">
        <v>1</v>
      </c>
      <c r="H4" s="4" t="inlineStr">
        <is>
          <t>否</t>
        </is>
      </c>
      <c r="I4" s="7" t="inlineStr">
        <is>
          <t>故事Vlog</t>
        </is>
      </c>
    </row>
    <row r="5">
      <c r="A5" s="4" t="n">
        <v>4</v>
      </c>
      <c r="B5" s="7" t="inlineStr">
        <is>
          <t>回口口</t>
        </is>
      </c>
      <c r="C5" s="7" t="inlineStr">
        <is>
          <t>世界杯除了西法英巴，你还看好哪支队冲进决赛？#世界杯 #世界杯冠军预测 #世界杯夺冠热门</t>
        </is>
      </c>
      <c r="D5" s="4" t="n">
        <v>637</v>
      </c>
      <c r="E5" s="4" t="n">
        <v>3400</v>
      </c>
      <c r="F5" s="4" t="n">
        <v>533.75</v>
      </c>
      <c r="G5" s="4" t="n">
        <v>16</v>
      </c>
      <c r="H5" s="4" t="inlineStr">
        <is>
          <t>否</t>
        </is>
      </c>
      <c r="I5" s="7" t="inlineStr">
        <is>
          <t>其他</t>
        </is>
      </c>
    </row>
    <row r="6">
      <c r="A6" s="4" t="n">
        <v>5</v>
      </c>
      <c r="B6" s="7" t="inlineStr">
        <is>
          <t>华洋 机票~阿妹呀</t>
        </is>
      </c>
      <c r="C6" s="7" t="inlineStr">
        <is>
          <t>你有非洲的朋友吗。这么多非洲群，谁进呀，在非洲的伙伴们，在外工作孤单吗，来唠唠嗑#交朋友 #非洲生活</t>
        </is>
      </c>
      <c r="D6" s="4" t="n">
        <v>2</v>
      </c>
      <c r="E6" s="4" t="n">
        <v>10</v>
      </c>
      <c r="F6" s="4" t="n">
        <v>500</v>
      </c>
      <c r="G6" s="4" t="n">
        <v>0</v>
      </c>
      <c r="H6" s="4" t="inlineStr">
        <is>
          <t>否</t>
        </is>
      </c>
      <c r="I6" s="7" t="inlineStr">
        <is>
          <t>故事Vlog</t>
        </is>
      </c>
    </row>
    <row r="7">
      <c r="A7" s="4" t="n">
        <v>6</v>
      </c>
      <c r="B7" s="7" t="inlineStr">
        <is>
          <t>我嘞个去</t>
        </is>
      </c>
      <c r="C7" s="7" t="inlineStr">
        <is>
          <t>阿尔及利亚，100kg，能发的货代请联系我一下#非洲外贸 #国际货代</t>
        </is>
      </c>
      <c r="D7" s="4" t="n">
        <v>3</v>
      </c>
      <c r="E7" s="4" t="n">
        <v>14</v>
      </c>
      <c r="F7" s="4" t="n">
        <v>466.67</v>
      </c>
      <c r="G7" s="4" t="n">
        <v>0</v>
      </c>
      <c r="H7" s="4" t="inlineStr">
        <is>
          <t>否</t>
        </is>
      </c>
      <c r="I7" s="7" t="inlineStr">
        <is>
          <t>其他</t>
        </is>
      </c>
    </row>
    <row r="8">
      <c r="A8" s="4" t="n">
        <v>7</v>
      </c>
      <c r="B8" s="7" t="inlineStr">
        <is>
          <t>我嘞个去</t>
        </is>
      </c>
      <c r="C8" s="7" t="inlineStr">
        <is>
          <t>阿尔及利亚，100kg，能发的货代请联系我一下#非洲外贸 #国际货代</t>
        </is>
      </c>
      <c r="D8" s="4" t="n">
        <v>3</v>
      </c>
      <c r="E8" s="4" t="n">
        <v>14</v>
      </c>
      <c r="F8" s="4" t="n">
        <v>466.67</v>
      </c>
      <c r="G8" s="4" t="n">
        <v>0</v>
      </c>
      <c r="H8" s="4" t="inlineStr">
        <is>
          <t>否</t>
        </is>
      </c>
      <c r="I8" s="7" t="inlineStr">
        <is>
          <t>其他</t>
        </is>
      </c>
    </row>
    <row r="9">
      <c r="A9" s="4" t="n">
        <v>8</v>
      </c>
      <c r="B9" s="7" t="inlineStr">
        <is>
          <t>湖南广电金鹰955</t>
        </is>
      </c>
      <c r="C9" s="7" t="inlineStr">
        <is>
          <t>“在长沙工作创业太香了！”6月13日，中非经贸博览会现场，湖大教授喊话非洲老乡速来 （记者：婧璇）#</t>
        </is>
      </c>
      <c r="D9" s="4" t="n">
        <v>2723</v>
      </c>
      <c r="E9" s="4" t="n">
        <v>10171</v>
      </c>
      <c r="F9" s="4" t="n">
        <v>373.52</v>
      </c>
      <c r="G9" s="4" t="n">
        <v>3094</v>
      </c>
      <c r="H9" s="4" t="inlineStr">
        <is>
          <t>是</t>
        </is>
      </c>
      <c r="I9" s="7" t="inlineStr">
        <is>
          <t>其他</t>
        </is>
      </c>
    </row>
    <row r="10">
      <c r="A10" s="4" t="n">
        <v>9</v>
      </c>
      <c r="B10" s="7" t="inlineStr">
        <is>
          <t>扬扬⚽⚽</t>
        </is>
      </c>
      <c r="C10" s="7" t="inlineStr">
        <is>
          <t>#法国 #科特迪瓦 #足球比分预测</t>
        </is>
      </c>
      <c r="D10" s="4" t="n">
        <v>71</v>
      </c>
      <c r="E10" s="4" t="n">
        <v>264</v>
      </c>
      <c r="F10" s="4" t="n">
        <v>371.83</v>
      </c>
      <c r="G10" s="4" t="n">
        <v>11</v>
      </c>
      <c r="H10" s="4" t="inlineStr">
        <is>
          <t>否</t>
        </is>
      </c>
      <c r="I10" s="7" t="inlineStr">
        <is>
          <t>其他</t>
        </is>
      </c>
    </row>
    <row r="11">
      <c r="A11" s="4" t="n">
        <v>10</v>
      </c>
      <c r="B11" s="7" t="inlineStr">
        <is>
          <t>安徽资管老陈</t>
        </is>
      </c>
      <c r="C11" s="7" t="inlineStr">
        <is>
          <t>#上海 #创业 #创业路上的我们 #资金 #同路人</t>
        </is>
      </c>
      <c r="D11" s="4" t="n">
        <v>580</v>
      </c>
      <c r="E11" s="4" t="n">
        <v>2033</v>
      </c>
      <c r="F11" s="4" t="n">
        <v>350.52</v>
      </c>
      <c r="G11" s="4" t="n">
        <v>28</v>
      </c>
      <c r="H11" s="4" t="inlineStr">
        <is>
          <t>否</t>
        </is>
      </c>
      <c r="I11" s="7" t="inlineStr">
        <is>
          <t>其他</t>
        </is>
      </c>
    </row>
    <row r="12">
      <c r="A12" s="4" t="n">
        <v>11</v>
      </c>
      <c r="B12" s="7" t="inlineStr">
        <is>
          <t>一叶知秋</t>
        </is>
      </c>
      <c r="C12" s="7" t="inlineStr">
        <is>
          <t>埃及华人交流群。#埃及 #埃及华人 #埃及旅游 #埃及旅行 #埃及生活</t>
        </is>
      </c>
      <c r="D12" s="4" t="n">
        <v>6</v>
      </c>
      <c r="E12" s="4" t="n">
        <v>21</v>
      </c>
      <c r="F12" s="4" t="n">
        <v>350</v>
      </c>
      <c r="G12" s="4" t="n">
        <v>0</v>
      </c>
      <c r="H12" s="4" t="inlineStr">
        <is>
          <t>否</t>
        </is>
      </c>
      <c r="I12" s="7" t="inlineStr">
        <is>
          <t>故事Vlog</t>
        </is>
      </c>
    </row>
    <row r="13">
      <c r="A13" s="4" t="n">
        <v>12</v>
      </c>
      <c r="B13" s="7" t="inlineStr">
        <is>
          <t>国际物流小俊</t>
        </is>
      </c>
      <c r="C13" s="7" t="inlineStr">
        <is>
          <t>在尼日利亚的同胞们！
现在可以在国内买好商品，美食，生活用品邮寄到我们公司，
我们公司统一打包发货邮</t>
        </is>
      </c>
      <c r="D13" s="4" t="n">
        <v>5</v>
      </c>
      <c r="E13" s="4" t="n">
        <v>16</v>
      </c>
      <c r="F13" s="4" t="n">
        <v>320</v>
      </c>
      <c r="G13" s="4" t="n">
        <v>5</v>
      </c>
      <c r="H13" s="4" t="inlineStr">
        <is>
          <t>否</t>
        </is>
      </c>
      <c r="I13" s="7" t="inlineStr">
        <is>
          <t>故事Vlog</t>
        </is>
      </c>
    </row>
    <row r="14">
      <c r="A14" s="4" t="n">
        <v>13</v>
      </c>
      <c r="B14" s="7" t="inlineStr">
        <is>
          <t>💓燕子🍭</t>
        </is>
      </c>
      <c r="C14" s="7" t="inlineStr">
        <is>
          <t>埃及自驾｜华人租车14天7座新车自由行！在埃及想租7座车真的太难了😭
平台上车型少得可怜，还限里程！</t>
        </is>
      </c>
      <c r="D14" s="4" t="n">
        <v>5</v>
      </c>
      <c r="E14" s="4" t="n">
        <v>16</v>
      </c>
      <c r="F14" s="4" t="n">
        <v>320</v>
      </c>
      <c r="G14" s="4" t="n">
        <v>1</v>
      </c>
      <c r="H14" s="4" t="inlineStr">
        <is>
          <t>否</t>
        </is>
      </c>
      <c r="I14" s="7" t="inlineStr">
        <is>
          <t>故事Vlog</t>
        </is>
      </c>
    </row>
    <row r="15">
      <c r="A15" s="4" t="n">
        <v>14</v>
      </c>
      <c r="B15" s="7" t="inlineStr">
        <is>
          <t>人已再无年少时</t>
        </is>
      </c>
      <c r="C15" s="7" t="inlineStr">
        <is>
          <t>大哥们怎么看？有没有穿越者！ 
#法国 #科特迪瓦 #友谊赛 #世界杯 #dou来看球</t>
        </is>
      </c>
      <c r="D15" s="4" t="n">
        <v>23</v>
      </c>
      <c r="E15" s="4" t="n">
        <v>73</v>
      </c>
      <c r="F15" s="4" t="n">
        <v>317.39</v>
      </c>
      <c r="G15" s="4" t="n">
        <v>7</v>
      </c>
      <c r="H15" s="4" t="inlineStr">
        <is>
          <t>否</t>
        </is>
      </c>
      <c r="I15" s="7" t="inlineStr">
        <is>
          <t>干货知识</t>
        </is>
      </c>
    </row>
    <row r="16">
      <c r="A16" s="4" t="n">
        <v>15</v>
      </c>
      <c r="B16" s="7" t="inlineStr">
        <is>
          <t>非洲华人双酋长郑晓鹏</t>
        </is>
      </c>
      <c r="C16" s="7" t="inlineStr">
        <is>
          <t>#上热门 #非洲#海外华人#外交发言人#原创 当地时间2024年4月21日，巴布亚新几内亚总理马拉佩</t>
        </is>
      </c>
      <c r="D16" s="4" t="n">
        <v>114</v>
      </c>
      <c r="E16" s="4" t="n">
        <v>360</v>
      </c>
      <c r="F16" s="4" t="n">
        <v>315.79</v>
      </c>
      <c r="G16" s="4" t="n">
        <v>7</v>
      </c>
      <c r="H16" s="4" t="inlineStr">
        <is>
          <t>否</t>
        </is>
      </c>
      <c r="I16" s="7" t="inlineStr">
        <is>
          <t>其他</t>
        </is>
      </c>
    </row>
    <row r="17">
      <c r="A17" s="4" t="n">
        <v>16</v>
      </c>
      <c r="B17" s="7" t="inlineStr">
        <is>
          <t>全球旅行</t>
        </is>
      </c>
      <c r="C17" s="7" t="inlineStr">
        <is>
          <t>埃塞俄比亚有望7月免签！动物大迁徙我来了。2026年5月28日，上海2026ITB旅游展。埃塞俄比亚</t>
        </is>
      </c>
      <c r="D17" s="4" t="n">
        <v>1</v>
      </c>
      <c r="E17" s="4" t="n">
        <v>3</v>
      </c>
      <c r="F17" s="4" t="n">
        <v>300</v>
      </c>
      <c r="G17" s="4" t="n">
        <v>1</v>
      </c>
      <c r="H17" s="4" t="inlineStr">
        <is>
          <t>否</t>
        </is>
      </c>
      <c r="I17" s="7" t="inlineStr">
        <is>
          <t>其他</t>
        </is>
      </c>
    </row>
    <row r="18">
      <c r="A18" s="4" t="n">
        <v>17</v>
      </c>
      <c r="B18" s="7" t="inlineStr">
        <is>
          <t>全球旅行</t>
        </is>
      </c>
      <c r="C18" s="7" t="inlineStr">
        <is>
          <t>埃塞俄比亚有望7月免签！动物大迁徙我来了。2026年5月28日，上海2026ITB旅游展。埃塞俄比亚</t>
        </is>
      </c>
      <c r="D18" s="4" t="n">
        <v>1</v>
      </c>
      <c r="E18" s="4" t="n">
        <v>3</v>
      </c>
      <c r="F18" s="4" t="n">
        <v>300</v>
      </c>
      <c r="G18" s="4" t="n">
        <v>1</v>
      </c>
      <c r="H18" s="4" t="inlineStr">
        <is>
          <t>否</t>
        </is>
      </c>
      <c r="I18" s="7" t="inlineStr">
        <is>
          <t>其他</t>
        </is>
      </c>
    </row>
    <row r="19">
      <c r="A19" s="4" t="n">
        <v>18</v>
      </c>
      <c r="B19" s="7" t="inlineStr">
        <is>
          <t>玉芬笔记</t>
        </is>
      </c>
      <c r="C19" s="7" t="inlineStr">
        <is>
          <t>有没有穿越者？#荷兰VS阿尔及利亚 #穿越者 #世界杯</t>
        </is>
      </c>
      <c r="D19" s="4" t="n">
        <v>84</v>
      </c>
      <c r="E19" s="4" t="n">
        <v>245</v>
      </c>
      <c r="F19" s="4" t="n">
        <v>291.67</v>
      </c>
      <c r="G19" s="4" t="n">
        <v>13</v>
      </c>
      <c r="H19" s="4" t="inlineStr">
        <is>
          <t>否</t>
        </is>
      </c>
      <c r="I19" s="7" t="inlineStr">
        <is>
          <t>其他</t>
        </is>
      </c>
    </row>
    <row r="20">
      <c r="A20" s="4" t="n">
        <v>19</v>
      </c>
      <c r="B20" s="7" t="inlineStr">
        <is>
          <t>玉芬笔记</t>
        </is>
      </c>
      <c r="C20" s="7" t="inlineStr">
        <is>
          <t>有没有穿越者？#荷兰VS阿尔及利亚 #穿越者 #世界杯</t>
        </is>
      </c>
      <c r="D20" s="4" t="n">
        <v>84</v>
      </c>
      <c r="E20" s="4" t="n">
        <v>245</v>
      </c>
      <c r="F20" s="4" t="n">
        <v>291.67</v>
      </c>
      <c r="G20" s="4" t="n">
        <v>13</v>
      </c>
      <c r="H20" s="4" t="inlineStr">
        <is>
          <t>否</t>
        </is>
      </c>
      <c r="I20" s="7" t="inlineStr">
        <is>
          <t>其他</t>
        </is>
      </c>
    </row>
    <row r="21">
      <c r="A21" s="4" t="n">
        <v>20</v>
      </c>
      <c r="B21" s="7" t="inlineStr">
        <is>
          <t>与萧观塞</t>
        </is>
      </c>
      <c r="C21" s="7" t="inlineStr">
        <is>
          <t>#荷兰#阿尔及利亚#国际友谊</t>
        </is>
      </c>
      <c r="D21" s="4" t="n">
        <v>192</v>
      </c>
      <c r="E21" s="4" t="n">
        <v>551</v>
      </c>
      <c r="F21" s="4" t="n">
        <v>286.98</v>
      </c>
      <c r="G21" s="4" t="n">
        <v>42</v>
      </c>
      <c r="H21" s="4" t="inlineStr">
        <is>
          <t>否</t>
        </is>
      </c>
      <c r="I21" s="7" t="inlineStr">
        <is>
          <t>其他</t>
        </is>
      </c>
    </row>
    <row r="22">
      <c r="A22" s="4" t="n">
        <v>21</v>
      </c>
      <c r="B22" s="7" t="inlineStr">
        <is>
          <t>与萧观塞</t>
        </is>
      </c>
      <c r="C22" s="7" t="inlineStr">
        <is>
          <t>#荷兰#阿尔及利亚#国际友谊</t>
        </is>
      </c>
      <c r="D22" s="4" t="n">
        <v>192</v>
      </c>
      <c r="E22" s="4" t="n">
        <v>551</v>
      </c>
      <c r="F22" s="4" t="n">
        <v>286.98</v>
      </c>
      <c r="G22" s="4" t="n">
        <v>42</v>
      </c>
      <c r="H22" s="4" t="inlineStr">
        <is>
          <t>否</t>
        </is>
      </c>
      <c r="I22" s="7" t="inlineStr">
        <is>
          <t>其他</t>
        </is>
      </c>
    </row>
    <row r="23">
      <c r="A23" s="4" t="n">
        <v>22</v>
      </c>
      <c r="B23" s="7" t="inlineStr">
        <is>
          <t>星途（涨粉中）</t>
        </is>
      </c>
      <c r="C23" s="7" t="inlineStr">
        <is>
          <t>法国战科特迪瓦，这盘口我得说道说道⚽。法国队的阵容确实够豪华，但受欧冠决赛影响，好几个巴黎主力可能上</t>
        </is>
      </c>
      <c r="D23" s="4" t="n">
        <v>18</v>
      </c>
      <c r="E23" s="4" t="n">
        <v>49</v>
      </c>
      <c r="F23" s="4" t="n">
        <v>272.22</v>
      </c>
      <c r="G23" s="4" t="n">
        <v>1</v>
      </c>
      <c r="H23" s="4" t="inlineStr">
        <is>
          <t>否</t>
        </is>
      </c>
      <c r="I23" s="7" t="inlineStr">
        <is>
          <t>故事Vlog</t>
        </is>
      </c>
    </row>
    <row r="24">
      <c r="A24" s="4" t="n">
        <v>23</v>
      </c>
      <c r="B24" s="7" t="inlineStr">
        <is>
          <t>一叶知秋</t>
        </is>
      </c>
      <c r="C24" s="7" t="inlineStr">
        <is>
          <t>加纳华人交流群。#非洲 #非洲加纳 #加纳 #加纳生活</t>
        </is>
      </c>
      <c r="D24" s="4" t="n">
        <v>9</v>
      </c>
      <c r="E24" s="4" t="n">
        <v>24</v>
      </c>
      <c r="F24" s="4" t="n">
        <v>266.67</v>
      </c>
      <c r="G24" s="4" t="n">
        <v>1</v>
      </c>
      <c r="H24" s="4" t="inlineStr">
        <is>
          <t>否</t>
        </is>
      </c>
      <c r="I24" s="7" t="inlineStr">
        <is>
          <t>故事Vlog</t>
        </is>
      </c>
    </row>
    <row r="25">
      <c r="A25" s="4" t="n">
        <v>24</v>
      </c>
      <c r="B25" s="7" t="inlineStr">
        <is>
          <t>第一现场</t>
        </is>
      </c>
      <c r="C25" s="7" t="inlineStr">
        <is>
          <t>21岁女孩独自赴埃及旅居，失联6天后找到。#旅居 #失联 #媒体精选计划 @抖音小助手 @DOU+小</t>
        </is>
      </c>
      <c r="D25" s="4" t="n">
        <v>313</v>
      </c>
      <c r="E25" s="4" t="n">
        <v>732</v>
      </c>
      <c r="F25" s="4" t="n">
        <v>233.87</v>
      </c>
      <c r="G25" s="4" t="n">
        <v>74</v>
      </c>
      <c r="H25" s="4" t="inlineStr">
        <is>
          <t>否</t>
        </is>
      </c>
      <c r="I25" s="7" t="inlineStr">
        <is>
          <t>其他</t>
        </is>
      </c>
    </row>
    <row r="26">
      <c r="A26" s="4" t="n">
        <v>25</v>
      </c>
      <c r="B26" s="7" t="inlineStr">
        <is>
          <t>橙橙🍊（旅游版）</t>
        </is>
      </c>
      <c r="C26" s="7" t="inlineStr">
        <is>
          <t>七月肯尼亚 找搭子。预算4W左右目前2女1男可以凑五六个人一台越野车一起玩可以免费拍照还有没有一起的</t>
        </is>
      </c>
      <c r="D26" s="4" t="n">
        <v>18</v>
      </c>
      <c r="E26" s="4" t="n">
        <v>42</v>
      </c>
      <c r="F26" s="4" t="n">
        <v>233.33</v>
      </c>
      <c r="G26" s="4" t="n">
        <v>2</v>
      </c>
      <c r="H26" s="4" t="inlineStr">
        <is>
          <t>否</t>
        </is>
      </c>
      <c r="I26" s="7" t="inlineStr">
        <is>
          <t>故事Vlog</t>
        </is>
      </c>
    </row>
    <row r="27">
      <c r="A27" s="4" t="n">
        <v>26</v>
      </c>
      <c r="B27" s="7" t="inlineStr">
        <is>
          <t>杭州全职兼职跑外卖租电池找小毛</t>
        </is>
      </c>
      <c r="C27" s="7" t="inlineStr">
        <is>
          <t>21岁女孩埃及失联：别让“说走就走”变成。父母的噩梦！
刷到池广滢在埃及失联又找到的消息，真的捏了把</t>
        </is>
      </c>
      <c r="D27" s="4" t="n">
        <v>79</v>
      </c>
      <c r="E27" s="4" t="n">
        <v>169</v>
      </c>
      <c r="F27" s="4" t="n">
        <v>213.92</v>
      </c>
      <c r="G27" s="4" t="n">
        <v>12</v>
      </c>
      <c r="H27" s="4" t="inlineStr">
        <is>
          <t>否</t>
        </is>
      </c>
      <c r="I27" s="7" t="inlineStr">
        <is>
          <t>其他</t>
        </is>
      </c>
    </row>
    <row r="28">
      <c r="A28" s="4" t="n">
        <v>27</v>
      </c>
      <c r="B28" s="7" t="inlineStr">
        <is>
          <t>摩洛哥敏（Mrs Jiamin）</t>
        </is>
      </c>
      <c r="C28" s="7" t="inlineStr">
        <is>
          <t>想知道在摩洛哥的华人都来自哪里，分布在哪些城市，我们评论区认识下吧！格式：国内城市+在摩洛哥的城市。</t>
        </is>
      </c>
      <c r="D28" s="4" t="n">
        <v>181</v>
      </c>
      <c r="E28" s="4" t="n">
        <v>373</v>
      </c>
      <c r="F28" s="4" t="n">
        <v>206.08</v>
      </c>
      <c r="G28" s="4" t="n">
        <v>7</v>
      </c>
      <c r="H28" s="4" t="inlineStr">
        <is>
          <t>否</t>
        </is>
      </c>
      <c r="I28" s="7" t="inlineStr">
        <is>
          <t>故事Vlog</t>
        </is>
      </c>
    </row>
    <row r="29">
      <c r="A29" s="4" t="n">
        <v>28</v>
      </c>
      <c r="B29" s="7" t="inlineStr">
        <is>
          <t>和亿遥</t>
        </is>
      </c>
      <c r="C29" s="7" t="inlineStr">
        <is>
          <t>27号飞安哥拉，超多行李额用不完啊！谁来帮我塞满#安哥拉华人 #出国行李 #安哥拉</t>
        </is>
      </c>
      <c r="D29" s="4" t="n">
        <v>29</v>
      </c>
      <c r="E29" s="4" t="n">
        <v>59</v>
      </c>
      <c r="F29" s="4" t="n">
        <v>203.45</v>
      </c>
      <c r="G29" s="4" t="n">
        <v>0</v>
      </c>
      <c r="H29" s="4" t="inlineStr">
        <is>
          <t>否</t>
        </is>
      </c>
      <c r="I29" s="7" t="inlineStr">
        <is>
          <t>其他</t>
        </is>
      </c>
    </row>
    <row r="30">
      <c r="A30" s="4" t="n">
        <v>29</v>
      </c>
      <c r="B30" s="7" t="inlineStr">
        <is>
          <t>🇨🇳Mr.马在非洲🇬🇭</t>
        </is>
      </c>
      <c r="C30" s="7" t="inlineStr">
        <is>
          <t>🇬🇭加纳华人超市消费 这是真实非洲物价 你觉得高还是低？评论区见亲人们😂#🇬🇭#加纳</t>
        </is>
      </c>
      <c r="D30" s="4" t="n">
        <v>88</v>
      </c>
      <c r="E30" s="4" t="n">
        <v>179</v>
      </c>
      <c r="F30" s="4" t="n">
        <v>203.41</v>
      </c>
      <c r="G30" s="4" t="n">
        <v>19</v>
      </c>
      <c r="H30" s="4" t="inlineStr">
        <is>
          <t>否</t>
        </is>
      </c>
      <c r="I30" s="7" t="inlineStr">
        <is>
          <t>其他</t>
        </is>
      </c>
    </row>
    <row r="31">
      <c r="A31" s="4" t="n">
        <v>30</v>
      </c>
      <c r="B31" s="7" t="inlineStr">
        <is>
          <t>🎊美灵</t>
        </is>
      </c>
      <c r="C31" s="7" t="inlineStr">
        <is>
          <t>津巴布韦🇿🇼。#津巴布韦 #津巴布韦华人的日常 #非洲</t>
        </is>
      </c>
      <c r="D31" s="4" t="n">
        <v>7</v>
      </c>
      <c r="E31" s="4" t="n">
        <v>14</v>
      </c>
      <c r="F31" s="4" t="n">
        <v>200</v>
      </c>
      <c r="G31" s="4" t="n">
        <v>11</v>
      </c>
      <c r="H31" s="4" t="inlineStr">
        <is>
          <t>否</t>
        </is>
      </c>
      <c r="I31" s="7" t="inlineStr">
        <is>
          <t>故事Vlog</t>
        </is>
      </c>
    </row>
    <row r="32">
      <c r="A32" s="4" t="n">
        <v>31</v>
      </c>
      <c r="B32" s="7" t="inlineStr">
        <is>
          <t>神不在奥林匹斯山</t>
        </is>
      </c>
      <c r="C32" s="7" t="inlineStr">
        <is>
          <t>不是哥们，到底谁在预测荷兰夺冠啊？看球之前知道荷兰，第一次是去小卖部买荷兰豆，第二次是同学家养了荷兰</t>
        </is>
      </c>
      <c r="D32" s="4" t="n">
        <v>5</v>
      </c>
      <c r="E32" s="4" t="n">
        <v>10</v>
      </c>
      <c r="F32" s="4" t="n">
        <v>200</v>
      </c>
      <c r="G32" s="4" t="n">
        <v>0</v>
      </c>
      <c r="H32" s="4" t="inlineStr">
        <is>
          <t>否</t>
        </is>
      </c>
      <c r="I32" s="7" t="inlineStr">
        <is>
          <t>其他</t>
        </is>
      </c>
    </row>
    <row r="33">
      <c r="A33" s="4" t="n">
        <v>32</v>
      </c>
      <c r="B33" s="7" t="inlineStr">
        <is>
          <t>全球百货供应链-解总</t>
        </is>
      </c>
      <c r="C33" s="7" t="inlineStr">
        <is>
          <t>💲非洲开超市，25万变125万？在非洲开超市真的很简单！选个人流量大、华人超市少的地方，比如尼日利亚</t>
        </is>
      </c>
      <c r="D33" s="4" t="n">
        <v>2</v>
      </c>
      <c r="E33" s="4" t="n">
        <v>4</v>
      </c>
      <c r="F33" s="4" t="n">
        <v>200</v>
      </c>
      <c r="G33" s="4" t="n">
        <v>3</v>
      </c>
      <c r="H33" s="4" t="inlineStr">
        <is>
          <t>否</t>
        </is>
      </c>
      <c r="I33" s="7" t="inlineStr">
        <is>
          <t>其他</t>
        </is>
      </c>
    </row>
    <row r="34">
      <c r="A34" s="4" t="n">
        <v>33</v>
      </c>
      <c r="B34" s="7" t="inlineStr">
        <is>
          <t>全球百货供应链-解总</t>
        </is>
      </c>
      <c r="C34" s="7" t="inlineStr">
        <is>
          <t>💲非洲开超市，25万变125万？在非洲开超市真的很简单！选个人流量大、华人超市少的地方，比如尼日利亚</t>
        </is>
      </c>
      <c r="D34" s="4" t="n">
        <v>2</v>
      </c>
      <c r="E34" s="4" t="n">
        <v>4</v>
      </c>
      <c r="F34" s="4" t="n">
        <v>200</v>
      </c>
      <c r="G34" s="4" t="n">
        <v>3</v>
      </c>
      <c r="H34" s="4" t="inlineStr">
        <is>
          <t>否</t>
        </is>
      </c>
      <c r="I34" s="7" t="inlineStr">
        <is>
          <t>其他</t>
        </is>
      </c>
    </row>
    <row r="35">
      <c r="A35" s="4" t="n">
        <v>34</v>
      </c>
      <c r="B35" s="7" t="inlineStr">
        <is>
          <t>思达全球百货供应链</t>
        </is>
      </c>
      <c r="C35" s="7" t="inlineStr">
        <is>
          <t>#海外华人#外贸出口#小商品批发市场#义乌小商品#南非</t>
        </is>
      </c>
      <c r="D35" s="4" t="n">
        <v>1</v>
      </c>
      <c r="E35" s="4" t="n">
        <v>2</v>
      </c>
      <c r="F35" s="4" t="n">
        <v>200</v>
      </c>
      <c r="G35" s="4" t="n">
        <v>0</v>
      </c>
      <c r="H35" s="4" t="inlineStr">
        <is>
          <t>否</t>
        </is>
      </c>
      <c r="I35" s="7" t="inlineStr">
        <is>
          <t>产品展示</t>
        </is>
      </c>
    </row>
    <row r="36">
      <c r="A36" s="4" t="n">
        <v>35</v>
      </c>
      <c r="B36" s="7" t="inlineStr">
        <is>
          <t>YYYY</t>
        </is>
      </c>
      <c r="C36" s="7" t="inlineStr">
        <is>
          <t>求肯尼亚海运DDP 找货代。#阿里巴巴国际站 #外贸#货代</t>
        </is>
      </c>
      <c r="D36" s="4" t="n">
        <v>1</v>
      </c>
      <c r="E36" s="4" t="n">
        <v>2</v>
      </c>
      <c r="F36" s="4" t="n">
        <v>200</v>
      </c>
      <c r="G36" s="4" t="n">
        <v>0</v>
      </c>
      <c r="H36" s="4" t="inlineStr">
        <is>
          <t>否</t>
        </is>
      </c>
      <c r="I36" s="7" t="inlineStr">
        <is>
          <t>其他</t>
        </is>
      </c>
    </row>
    <row r="37">
      <c r="A37" s="4" t="n">
        <v>36</v>
      </c>
      <c r="B37" s="7" t="inlineStr">
        <is>
          <t>爱吃山竹</t>
        </is>
      </c>
      <c r="C37" s="7" t="inlineStr">
        <is>
          <t>荷兰这操作认真的吗？？？荷兰队，你倒是给我个说得过去的解释啊！ 
#世界杯赛程 #比分竞猜挑战</t>
        </is>
      </c>
      <c r="D37" s="4" t="n">
        <v>220</v>
      </c>
      <c r="E37" s="4" t="n">
        <v>421</v>
      </c>
      <c r="F37" s="4" t="n">
        <v>191.36</v>
      </c>
      <c r="G37" s="4" t="n">
        <v>328</v>
      </c>
      <c r="H37" s="4" t="inlineStr">
        <is>
          <t>否</t>
        </is>
      </c>
      <c r="I37" s="7" t="inlineStr">
        <is>
          <t>其他</t>
        </is>
      </c>
    </row>
    <row r="38">
      <c r="A38" s="4" t="n">
        <v>37</v>
      </c>
      <c r="B38" s="7" t="inlineStr">
        <is>
          <t>爱吃山竹</t>
        </is>
      </c>
      <c r="C38" s="7" t="inlineStr">
        <is>
          <t>荷兰这操作认真的吗？？？荷兰队，你倒是给我个说得过去的解释啊！ 
#世界杯赛程 #比分竞猜挑战</t>
        </is>
      </c>
      <c r="D38" s="4" t="n">
        <v>220</v>
      </c>
      <c r="E38" s="4" t="n">
        <v>421</v>
      </c>
      <c r="F38" s="4" t="n">
        <v>191.36</v>
      </c>
      <c r="G38" s="4" t="n">
        <v>328</v>
      </c>
      <c r="H38" s="4" t="inlineStr">
        <is>
          <t>否</t>
        </is>
      </c>
      <c r="I38" s="7" t="inlineStr">
        <is>
          <t>其他</t>
        </is>
      </c>
    </row>
    <row r="39">
      <c r="A39" s="4" t="n">
        <v>38</v>
      </c>
      <c r="B39" s="7" t="inlineStr">
        <is>
          <t>全球群（进群看主页）</t>
        </is>
      </c>
      <c r="C39" s="7" t="inlineStr">
        <is>
          <t>马岛非洲  华人群多多  马达加斯加。#马达加斯加#非洲#非洲专线#非洲贸易#马达加斯加生活</t>
        </is>
      </c>
      <c r="D39" s="4" t="n">
        <v>7</v>
      </c>
      <c r="E39" s="4" t="n">
        <v>13</v>
      </c>
      <c r="F39" s="4" t="n">
        <v>185.71</v>
      </c>
      <c r="G39" s="4" t="n">
        <v>0</v>
      </c>
      <c r="H39" s="4" t="inlineStr">
        <is>
          <t>否</t>
        </is>
      </c>
      <c r="I39" s="7" t="inlineStr">
        <is>
          <t>故事Vlog</t>
        </is>
      </c>
    </row>
    <row r="40">
      <c r="A40" s="4" t="n">
        <v>39</v>
      </c>
      <c r="B40" s="7" t="inlineStr">
        <is>
          <t>油条酥’</t>
        </is>
      </c>
      <c r="C40" s="7" t="inlineStr">
        <is>
          <t>新年快乐。像是误入了什么组织。哈哈哈。㊗️全球华人新年快乐呀…#新年祝福 #海外生活 #过年好 #聊</t>
        </is>
      </c>
      <c r="D40" s="4" t="n">
        <v>1317</v>
      </c>
      <c r="E40" s="4" t="n">
        <v>2405</v>
      </c>
      <c r="F40" s="4" t="n">
        <v>182.61</v>
      </c>
      <c r="G40" s="4" t="n">
        <v>121</v>
      </c>
      <c r="H40" s="4" t="inlineStr">
        <is>
          <t>否</t>
        </is>
      </c>
      <c r="I40" s="7" t="inlineStr">
        <is>
          <t>故事Vlog</t>
        </is>
      </c>
    </row>
    <row r="41">
      <c r="A41" s="4" t="n">
        <v>40</v>
      </c>
      <c r="B41" s="7" t="inlineStr">
        <is>
          <t>油条酥’</t>
        </is>
      </c>
      <c r="C41" s="7" t="inlineStr">
        <is>
          <t>新年快乐。像是误入了什么组织。哈哈哈。㊗️全球华人新年快乐呀…#新年祝福 #海外生活 #过年好 #聊</t>
        </is>
      </c>
      <c r="D41" s="4" t="n">
        <v>1317</v>
      </c>
      <c r="E41" s="4" t="n">
        <v>2405</v>
      </c>
      <c r="F41" s="4" t="n">
        <v>182.61</v>
      </c>
      <c r="G41" s="4" t="n">
        <v>121</v>
      </c>
      <c r="H41" s="4" t="inlineStr">
        <is>
          <t>否</t>
        </is>
      </c>
      <c r="I41" s="7" t="inlineStr">
        <is>
          <t>故事Vlog</t>
        </is>
      </c>
    </row>
    <row r="42">
      <c r="A42" s="4" t="n">
        <v>41</v>
      </c>
      <c r="B42" s="7" t="inlineStr">
        <is>
          <t>伯羊日常生活</t>
        </is>
      </c>
      <c r="C42" s="7" t="inlineStr">
        <is>
          <t xml:space="preserve">荷兰0：1输给阿尔及利亚算是冷门吗？
</t>
        </is>
      </c>
      <c r="D42" s="4" t="n">
        <v>20</v>
      </c>
      <c r="E42" s="4" t="n">
        <v>36</v>
      </c>
      <c r="F42" s="4" t="n">
        <v>180</v>
      </c>
      <c r="G42" s="4" t="n">
        <v>2</v>
      </c>
      <c r="H42" s="4" t="inlineStr">
        <is>
          <t>否</t>
        </is>
      </c>
      <c r="I42" s="7" t="inlineStr">
        <is>
          <t>其他</t>
        </is>
      </c>
    </row>
    <row r="43">
      <c r="A43" s="4" t="n">
        <v>42</v>
      </c>
      <c r="B43" s="7" t="inlineStr">
        <is>
          <t>一勺水仙</t>
        </is>
      </c>
      <c r="C43" s="7" t="inlineStr">
        <is>
          <t>有种想撕票的感觉</t>
        </is>
      </c>
      <c r="D43" s="4" t="n">
        <v>73</v>
      </c>
      <c r="E43" s="4" t="n">
        <v>128</v>
      </c>
      <c r="F43" s="4" t="n">
        <v>175.34</v>
      </c>
      <c r="G43" s="4" t="n">
        <v>83</v>
      </c>
      <c r="H43" s="4" t="inlineStr">
        <is>
          <t>否</t>
        </is>
      </c>
      <c r="I43" s="7" t="inlineStr">
        <is>
          <t>其他</t>
        </is>
      </c>
    </row>
    <row r="44">
      <c r="A44" s="4" t="n">
        <v>43</v>
      </c>
      <c r="B44" s="7" t="inlineStr">
        <is>
          <t>一勺水仙</t>
        </is>
      </c>
      <c r="C44" s="7" t="inlineStr">
        <is>
          <t>有种想撕票的感觉</t>
        </is>
      </c>
      <c r="D44" s="4" t="n">
        <v>73</v>
      </c>
      <c r="E44" s="4" t="n">
        <v>128</v>
      </c>
      <c r="F44" s="4" t="n">
        <v>175.34</v>
      </c>
      <c r="G44" s="4" t="n">
        <v>83</v>
      </c>
      <c r="H44" s="4" t="inlineStr">
        <is>
          <t>否</t>
        </is>
      </c>
      <c r="I44" s="7" t="inlineStr">
        <is>
          <t>其他</t>
        </is>
      </c>
    </row>
    <row r="45">
      <c r="A45" s="4" t="n">
        <v>44</v>
      </c>
      <c r="B45" s="7" t="inlineStr">
        <is>
          <t>广州阿琼谈缘</t>
        </is>
      </c>
      <c r="C45" s="7" t="inlineStr">
        <is>
          <t>全网摩洛哥。全网都在刷摩洛哥🇲🇦，刷到好多摩洛哥女生和华人的故事，她们的温柔和真诚真的戳到我了。#摩</t>
        </is>
      </c>
      <c r="D45" s="4" t="n">
        <v>26</v>
      </c>
      <c r="E45" s="4" t="n">
        <v>45</v>
      </c>
      <c r="F45" s="4" t="n">
        <v>173.08</v>
      </c>
      <c r="G45" s="4" t="n">
        <v>1</v>
      </c>
      <c r="H45" s="4" t="inlineStr">
        <is>
          <t>否</t>
        </is>
      </c>
      <c r="I45" s="7" t="inlineStr">
        <is>
          <t>故事Vlog</t>
        </is>
      </c>
    </row>
    <row r="46">
      <c r="A46" s="4" t="n">
        <v>45</v>
      </c>
      <c r="B46" s="7" t="inlineStr">
        <is>
          <t>广州阿琼谈缘</t>
        </is>
      </c>
      <c r="C46" s="7" t="inlineStr">
        <is>
          <t>全网摩洛哥。全网都在刷摩洛哥🇲🇦，刷到好多摩洛哥女生和华人的故事，她们的温柔和真诚真的戳到我了。#摩</t>
        </is>
      </c>
      <c r="D46" s="4" t="n">
        <v>26</v>
      </c>
      <c r="E46" s="4" t="n">
        <v>45</v>
      </c>
      <c r="F46" s="4" t="n">
        <v>173.08</v>
      </c>
      <c r="G46" s="4" t="n">
        <v>1</v>
      </c>
      <c r="H46" s="4" t="inlineStr">
        <is>
          <t>否</t>
        </is>
      </c>
      <c r="I46" s="7" t="inlineStr">
        <is>
          <t>故事Vlog</t>
        </is>
      </c>
    </row>
    <row r="47">
      <c r="A47" s="4" t="n">
        <v>46</v>
      </c>
      <c r="B47" s="7" t="inlineStr">
        <is>
          <t>广州阿琼谈缘</t>
        </is>
      </c>
      <c r="C47" s="7" t="inlineStr">
        <is>
          <t>全网摩洛哥。全网都在刷摩洛哥🇲🇦，刷到好多摩洛哥女生和华人的故事，她们的温柔和真诚真的戳到我了。#摩</t>
        </is>
      </c>
      <c r="D47" s="4" t="n">
        <v>26</v>
      </c>
      <c r="E47" s="4" t="n">
        <v>45</v>
      </c>
      <c r="F47" s="4" t="n">
        <v>173.08</v>
      </c>
      <c r="G47" s="4" t="n">
        <v>1</v>
      </c>
      <c r="H47" s="4" t="inlineStr">
        <is>
          <t>否</t>
        </is>
      </c>
      <c r="I47" s="7" t="inlineStr">
        <is>
          <t>故事Vlog</t>
        </is>
      </c>
    </row>
    <row r="48">
      <c r="A48" s="4" t="n">
        <v>47</v>
      </c>
      <c r="B48" s="7" t="inlineStr">
        <is>
          <t>广州阿琼谈缘</t>
        </is>
      </c>
      <c r="C48" s="7" t="inlineStr">
        <is>
          <t>全网摩洛哥。全网都在刷摩洛哥🇲🇦，刷到好多摩洛哥女生和华人的故事，她们的温柔和真诚真的戳到我了。#摩</t>
        </is>
      </c>
      <c r="D48" s="4" t="n">
        <v>26</v>
      </c>
      <c r="E48" s="4" t="n">
        <v>45</v>
      </c>
      <c r="F48" s="4" t="n">
        <v>173.08</v>
      </c>
      <c r="G48" s="4" t="n">
        <v>1</v>
      </c>
      <c r="H48" s="4" t="inlineStr">
        <is>
          <t>否</t>
        </is>
      </c>
      <c r="I48" s="7" t="inlineStr">
        <is>
          <t>故事Vlog</t>
        </is>
      </c>
    </row>
    <row r="49">
      <c r="A49" s="4" t="n">
        <v>48</v>
      </c>
      <c r="B49" s="7" t="inlineStr">
        <is>
          <t>广州阿琼谈缘</t>
        </is>
      </c>
      <c r="C49" s="7" t="inlineStr">
        <is>
          <t>全网摩洛哥。全网都在刷摩洛哥🇲🇦，刷到好多摩洛哥女生和华人的故事，她们的温柔和真诚真的戳到我了。#摩</t>
        </is>
      </c>
      <c r="D49" s="4" t="n">
        <v>26</v>
      </c>
      <c r="E49" s="4" t="n">
        <v>45</v>
      </c>
      <c r="F49" s="4" t="n">
        <v>173.08</v>
      </c>
      <c r="G49" s="4" t="n">
        <v>1</v>
      </c>
      <c r="H49" s="4" t="inlineStr">
        <is>
          <t>否</t>
        </is>
      </c>
      <c r="I49" s="7" t="inlineStr">
        <is>
          <t>故事Vlog</t>
        </is>
      </c>
    </row>
    <row r="50">
      <c r="A50" s="4" t="n">
        <v>49</v>
      </c>
      <c r="B50" s="7" t="inlineStr">
        <is>
          <t>广东省中国青年旅行社中山一路分社</t>
        </is>
      </c>
      <c r="C50" s="7" t="inlineStr">
        <is>
          <t xml:space="preserve">莫桑比克签证申请。莫桑比克签证申请，莫桑比克贴签#莫桑比克签证 #莫桑比克贴签 #莫桑比克签证申请 </t>
        </is>
      </c>
      <c r="D50" s="4" t="n">
        <v>7</v>
      </c>
      <c r="E50" s="4" t="n">
        <v>12</v>
      </c>
      <c r="F50" s="4" t="n">
        <v>171.43</v>
      </c>
      <c r="G50" s="4" t="n">
        <v>2</v>
      </c>
      <c r="H50" s="4" t="inlineStr">
        <is>
          <t>否</t>
        </is>
      </c>
      <c r="I50" s="7" t="inlineStr">
        <is>
          <t>其他</t>
        </is>
      </c>
    </row>
    <row r="51">
      <c r="A51" s="4" t="n">
        <v>50</v>
      </c>
      <c r="B51" s="7" t="inlineStr">
        <is>
          <t>韩总的非洲日记 📖</t>
        </is>
      </c>
      <c r="C51" s="7" t="inlineStr">
        <is>
          <t>黄热疫苗免费打！我要去安哥拉创业了。家人们！折腾一个月，去安哥拉的手续终于全搞定了📄
谁懂啊！黄</t>
        </is>
      </c>
      <c r="D51" s="4" t="n">
        <v>735</v>
      </c>
      <c r="E51" s="4" t="n">
        <v>1252</v>
      </c>
      <c r="F51" s="4" t="n">
        <v>170.34</v>
      </c>
      <c r="G51" s="4" t="n">
        <v>67</v>
      </c>
      <c r="H51" s="4" t="inlineStr">
        <is>
          <t>否</t>
        </is>
      </c>
      <c r="I51" s="7" t="inlineStr">
        <is>
          <t>故事Vlog</t>
        </is>
      </c>
    </row>
    <row r="52">
      <c r="A52" s="4" t="n">
        <v>51</v>
      </c>
      <c r="B52" s="7" t="inlineStr">
        <is>
          <t>广州优想国际旅行社</t>
        </is>
      </c>
      <c r="C52" s="7" t="inlineStr">
        <is>
          <t>西非地区华人交流。#西非 #非洲华人#几内亚华人</t>
        </is>
      </c>
      <c r="D52" s="4" t="n">
        <v>21</v>
      </c>
      <c r="E52" s="4" t="n">
        <v>35</v>
      </c>
      <c r="F52" s="4" t="n">
        <v>166.67</v>
      </c>
      <c r="G52" s="4" t="n">
        <v>15</v>
      </c>
      <c r="H52" s="4" t="inlineStr">
        <is>
          <t>否</t>
        </is>
      </c>
      <c r="I52" s="7" t="inlineStr">
        <is>
          <t>其他</t>
        </is>
      </c>
    </row>
    <row r="53">
      <c r="A53" s="4" t="n">
        <v>52</v>
      </c>
      <c r="B53" s="7" t="inlineStr">
        <is>
          <t>广州优想国际旅行社</t>
        </is>
      </c>
      <c r="C53" s="7" t="inlineStr">
        <is>
          <t>西非地区华人交流。#西非 #非洲华人#几内亚华人</t>
        </is>
      </c>
      <c r="D53" s="4" t="n">
        <v>21</v>
      </c>
      <c r="E53" s="4" t="n">
        <v>35</v>
      </c>
      <c r="F53" s="4" t="n">
        <v>166.67</v>
      </c>
      <c r="G53" s="4" t="n">
        <v>15</v>
      </c>
      <c r="H53" s="4" t="inlineStr">
        <is>
          <t>否</t>
        </is>
      </c>
      <c r="I53" s="7" t="inlineStr">
        <is>
          <t>其他</t>
        </is>
      </c>
    </row>
    <row r="54">
      <c r="A54" s="4" t="n">
        <v>53</v>
      </c>
      <c r="B54" s="7" t="inlineStr">
        <is>
          <t>广州优想国际旅行社</t>
        </is>
      </c>
      <c r="C54" s="7" t="inlineStr">
        <is>
          <t>西非地区华人交流。#西非 #非洲华人#几内亚华人</t>
        </is>
      </c>
      <c r="D54" s="4" t="n">
        <v>21</v>
      </c>
      <c r="E54" s="4" t="n">
        <v>35</v>
      </c>
      <c r="F54" s="4" t="n">
        <v>166.67</v>
      </c>
      <c r="G54" s="4" t="n">
        <v>15</v>
      </c>
      <c r="H54" s="4" t="inlineStr">
        <is>
          <t>否</t>
        </is>
      </c>
      <c r="I54" s="7" t="inlineStr">
        <is>
          <t>其他</t>
        </is>
      </c>
    </row>
    <row r="55">
      <c r="A55" s="4" t="n">
        <v>54</v>
      </c>
      <c r="B55" s="7" t="inlineStr">
        <is>
          <t>周小舟</t>
        </is>
      </c>
      <c r="C55" s="7" t="inlineStr">
        <is>
          <t>全网寻找穿越者，这场应该不用多说吧 #法国 #科特迪瓦 #国际友谊赛  #2026美加墨世界杯  #</t>
        </is>
      </c>
      <c r="D55" s="4" t="n">
        <v>136</v>
      </c>
      <c r="E55" s="4" t="n">
        <v>224</v>
      </c>
      <c r="F55" s="4" t="n">
        <v>164.71</v>
      </c>
      <c r="G55" s="4" t="n">
        <v>10</v>
      </c>
      <c r="H55" s="4" t="inlineStr">
        <is>
          <t>否</t>
        </is>
      </c>
      <c r="I55" s="7" t="inlineStr">
        <is>
          <t>其他</t>
        </is>
      </c>
    </row>
    <row r="56">
      <c r="A56" s="4" t="n">
        <v>55</v>
      </c>
      <c r="B56" s="7" t="inlineStr">
        <is>
          <t>TyeYuan</t>
        </is>
      </c>
      <c r="C56" s="7" t="inlineStr">
        <is>
          <t>外贸新型骗局，尼日利亚人骗邀请函。最近尼日利亚高发区：西非（尼日利亚、加纳、贝宁等）是邀请函诈骗重灾</t>
        </is>
      </c>
      <c r="D56" s="4" t="n">
        <v>21</v>
      </c>
      <c r="E56" s="4" t="n">
        <v>34</v>
      </c>
      <c r="F56" s="4" t="n">
        <v>161.9</v>
      </c>
      <c r="G56" s="4" t="n">
        <v>4</v>
      </c>
      <c r="H56" s="4" t="inlineStr">
        <is>
          <t>否</t>
        </is>
      </c>
      <c r="I56" s="7" t="inlineStr">
        <is>
          <t>故事Vlog</t>
        </is>
      </c>
    </row>
    <row r="57">
      <c r="A57" s="4" t="n">
        <v>56</v>
      </c>
      <c r="B57" s="7" t="inlineStr">
        <is>
          <t>双子吖</t>
        </is>
      </c>
      <c r="C57" s="7" t="inlineStr">
        <is>
          <t>今晚的法国直接干穿科特迪瓦。#美加墨世界杯</t>
        </is>
      </c>
      <c r="D57" s="4" t="n">
        <v>14</v>
      </c>
      <c r="E57" s="4" t="n">
        <v>22</v>
      </c>
      <c r="F57" s="4" t="n">
        <v>157.14</v>
      </c>
      <c r="G57" s="4" t="n">
        <v>1</v>
      </c>
      <c r="H57" s="4" t="inlineStr">
        <is>
          <t>否</t>
        </is>
      </c>
      <c r="I57" s="7" t="inlineStr">
        <is>
          <t>其他</t>
        </is>
      </c>
    </row>
    <row r="58">
      <c r="A58" s="4" t="n">
        <v>57</v>
      </c>
      <c r="B58" s="7" t="inlineStr">
        <is>
          <t>德扬加纳🇬🇭托包供应链</t>
        </is>
      </c>
      <c r="C58" s="7" t="inlineStr">
        <is>
          <t>中国到加纳🇬🇭托包七天内到阿克拉。加纳全境到门
双清包税
阿克拉有仓库
#加纳 #加纳快递 #加纳阿</t>
        </is>
      </c>
      <c r="D58" s="4" t="n">
        <v>16</v>
      </c>
      <c r="E58" s="4" t="n">
        <v>25</v>
      </c>
      <c r="F58" s="4" t="n">
        <v>156.25</v>
      </c>
      <c r="G58" s="4" t="n">
        <v>5</v>
      </c>
      <c r="H58" s="4" t="inlineStr">
        <is>
          <t>否</t>
        </is>
      </c>
      <c r="I58" s="7" t="inlineStr">
        <is>
          <t>其他</t>
        </is>
      </c>
    </row>
    <row r="59">
      <c r="A59" s="4" t="n">
        <v>58</v>
      </c>
      <c r="B59" s="7" t="inlineStr">
        <is>
          <t>到非洲跟奥德彪拉香蕉</t>
        </is>
      </c>
      <c r="C59" s="7" t="inlineStr">
        <is>
          <t>几内亚华人群</t>
        </is>
      </c>
      <c r="D59" s="4" t="n">
        <v>22</v>
      </c>
      <c r="E59" s="4" t="n">
        <v>34</v>
      </c>
      <c r="F59" s="4" t="n">
        <v>154.55</v>
      </c>
      <c r="G59" s="4" t="n">
        <v>22</v>
      </c>
      <c r="H59" s="4" t="inlineStr">
        <is>
          <t>否</t>
        </is>
      </c>
      <c r="I59" s="7" t="inlineStr">
        <is>
          <t>其他</t>
        </is>
      </c>
    </row>
    <row r="60">
      <c r="A60" s="4" t="n">
        <v>59</v>
      </c>
      <c r="B60" s="7" t="inlineStr">
        <is>
          <t>全球国际机票航旅管家</t>
        </is>
      </c>
      <c r="C60" s="7" t="inlineStr">
        <is>
          <t>非洲华人圈。#国际机票#出国回国#购买机票流程曲</t>
        </is>
      </c>
      <c r="D60" s="4" t="n">
        <v>17</v>
      </c>
      <c r="E60" s="4" t="n">
        <v>26</v>
      </c>
      <c r="F60" s="4" t="n">
        <v>152.94</v>
      </c>
      <c r="G60" s="4" t="n">
        <v>0</v>
      </c>
      <c r="H60" s="4" t="inlineStr">
        <is>
          <t>否</t>
        </is>
      </c>
      <c r="I60" s="7" t="inlineStr">
        <is>
          <t>其他</t>
        </is>
      </c>
    </row>
    <row r="61">
      <c r="A61" s="4" t="n">
        <v>60</v>
      </c>
      <c r="B61" s="7" t="inlineStr">
        <is>
          <t>华洋 机票小妹</t>
        </is>
      </c>
      <c r="C61" s="7" t="inlineStr">
        <is>
          <t>坦桑尼亚的朋友集合啦。在坦桑尼亚的朋友们进来聊聊天#聊天群 #集合了 #坦桑尼亚 #出海非洲</t>
        </is>
      </c>
      <c r="D61" s="4" t="n">
        <v>36</v>
      </c>
      <c r="E61" s="4" t="n">
        <v>54</v>
      </c>
      <c r="F61" s="4" t="n">
        <v>150</v>
      </c>
      <c r="G61" s="4" t="n">
        <v>49</v>
      </c>
      <c r="H61" s="4" t="inlineStr">
        <is>
          <t>否</t>
        </is>
      </c>
      <c r="I61" s="7" t="inlineStr">
        <is>
          <t>其他</t>
        </is>
      </c>
    </row>
    <row r="62">
      <c r="A62" s="4" t="n">
        <v>61</v>
      </c>
      <c r="B62" s="7" t="inlineStr">
        <is>
          <t>我是茶人小雅</t>
        </is>
      </c>
      <c r="C62" s="7" t="inlineStr">
        <is>
          <t>为了咖啡，给你们在埃塞俄比亚实拍。-
溯源丸木原料，埃塞花魁。 
高原风土赋能原生豆种，精细化日晒工</t>
        </is>
      </c>
      <c r="D62" s="4" t="n">
        <v>2</v>
      </c>
      <c r="E62" s="4" t="n">
        <v>3</v>
      </c>
      <c r="F62" s="4" t="n">
        <v>150</v>
      </c>
      <c r="G62" s="4" t="n">
        <v>0</v>
      </c>
      <c r="H62" s="4" t="inlineStr">
        <is>
          <t>否</t>
        </is>
      </c>
      <c r="I62" s="7" t="inlineStr">
        <is>
          <t>其他</t>
        </is>
      </c>
    </row>
    <row r="63">
      <c r="A63" s="4" t="n">
        <v>62</v>
      </c>
      <c r="B63" s="7" t="inlineStr">
        <is>
          <t>非洲华人双酋长郑晓鹏</t>
        </is>
      </c>
      <c r="C63" s="7" t="inlineStr">
        <is>
          <t>巴布亚新几内亚总理会见中国外长王毅。#上热门#非洲#海外华人#外交发言人#原创 当地时间2024年4</t>
        </is>
      </c>
      <c r="D63" s="4" t="n">
        <v>544</v>
      </c>
      <c r="E63" s="4" t="n">
        <v>805</v>
      </c>
      <c r="F63" s="4" t="n">
        <v>147.98</v>
      </c>
      <c r="G63" s="4" t="n">
        <v>11</v>
      </c>
      <c r="H63" s="4" t="inlineStr">
        <is>
          <t>否</t>
        </is>
      </c>
      <c r="I63" s="7" t="inlineStr">
        <is>
          <t>其他</t>
        </is>
      </c>
    </row>
    <row r="64">
      <c r="A64" s="4" t="n">
        <v>63</v>
      </c>
      <c r="B64" s="7" t="inlineStr">
        <is>
          <t>小高的锅包肉【摆摊日记】</t>
        </is>
      </c>
      <c r="C64" s="7" t="inlineStr">
        <is>
          <t>所以，各位我不花钱买你们了！#洛阳锅包肉#洛阳本地美食 #摆摊创业 #锅包肉天花板 #上热门</t>
        </is>
      </c>
      <c r="D64" s="4" t="n">
        <v>35</v>
      </c>
      <c r="E64" s="4" t="n">
        <v>51</v>
      </c>
      <c r="F64" s="4" t="n">
        <v>145.71</v>
      </c>
      <c r="G64" s="4" t="n">
        <v>6</v>
      </c>
      <c r="H64" s="4" t="inlineStr">
        <is>
          <t>否</t>
        </is>
      </c>
      <c r="I64" s="7" t="inlineStr">
        <is>
          <t>其他</t>
        </is>
      </c>
    </row>
    <row r="65">
      <c r="A65" s="4" t="n">
        <v>64</v>
      </c>
      <c r="B65" s="7" t="inlineStr">
        <is>
          <t>淰</t>
        </is>
      </c>
      <c r="C65" s="7" t="inlineStr">
        <is>
          <t>！震撼首发
竟然答对了</t>
        </is>
      </c>
      <c r="D65" s="4" t="n">
        <v>14706</v>
      </c>
      <c r="E65" s="4" t="n">
        <v>21170</v>
      </c>
      <c r="F65" s="4" t="n">
        <v>143.95</v>
      </c>
      <c r="G65" s="4" t="n">
        <v>8601</v>
      </c>
      <c r="H65" s="4" t="inlineStr">
        <is>
          <t>是</t>
        </is>
      </c>
      <c r="I65" s="7" t="inlineStr">
        <is>
          <t>其他</t>
        </is>
      </c>
    </row>
    <row r="66">
      <c r="A66" s="4" t="n">
        <v>65</v>
      </c>
      <c r="B66" s="7" t="inlineStr">
        <is>
          <t>到非洲跟奥德彪拉香蕉</t>
        </is>
      </c>
      <c r="C66" s="7" t="inlineStr">
        <is>
          <t>#几内亚 几内亚华人交流群</t>
        </is>
      </c>
      <c r="D66" s="4" t="n">
        <v>16</v>
      </c>
      <c r="E66" s="4" t="n">
        <v>23</v>
      </c>
      <c r="F66" s="4" t="n">
        <v>143.75</v>
      </c>
      <c r="G66" s="4" t="n">
        <v>11</v>
      </c>
      <c r="H66" s="4" t="inlineStr">
        <is>
          <t>否</t>
        </is>
      </c>
      <c r="I66" s="7" t="inlineStr">
        <is>
          <t>其他</t>
        </is>
      </c>
    </row>
    <row r="67">
      <c r="A67" s="4" t="n">
        <v>66</v>
      </c>
      <c r="B67" s="7" t="inlineStr">
        <is>
          <t>风吹发💰财意🌙</t>
        </is>
      </c>
      <c r="C67" s="7" t="inlineStr">
        <is>
          <t>加纳华人互助群。在加纳的朋友可以一起进来聊天 #阿克拉#塔马利#库马西#特马 加纳 #塔克拉迪</t>
        </is>
      </c>
      <c r="D67" s="4" t="n">
        <v>14</v>
      </c>
      <c r="E67" s="4" t="n">
        <v>20</v>
      </c>
      <c r="F67" s="4" t="n">
        <v>142.86</v>
      </c>
      <c r="G67" s="4" t="n">
        <v>8</v>
      </c>
      <c r="H67" s="4" t="inlineStr">
        <is>
          <t>否</t>
        </is>
      </c>
      <c r="I67" s="7" t="inlineStr">
        <is>
          <t>其他</t>
        </is>
      </c>
    </row>
    <row r="68">
      <c r="A68" s="4" t="n">
        <v>67</v>
      </c>
      <c r="B68" s="7" t="inlineStr">
        <is>
          <t>诸神黄昏⚽</t>
        </is>
      </c>
      <c r="C68" s="7" t="inlineStr">
        <is>
          <t>国际友谊赛 | 荷兰vs阿尔及利亚。一觉醒来，啥也不是！！！玩什么？🤨
#足球 #国际友谊赛 #荷兰</t>
        </is>
      </c>
      <c r="D68" s="4" t="n">
        <v>7</v>
      </c>
      <c r="E68" s="4" t="n">
        <v>10</v>
      </c>
      <c r="F68" s="4" t="n">
        <v>142.86</v>
      </c>
      <c r="G68" s="4" t="n">
        <v>4</v>
      </c>
      <c r="H68" s="4" t="inlineStr">
        <is>
          <t>否</t>
        </is>
      </c>
      <c r="I68" s="7" t="inlineStr">
        <is>
          <t>其他</t>
        </is>
      </c>
    </row>
    <row r="69">
      <c r="A69" s="4" t="n">
        <v>68</v>
      </c>
      <c r="B69" s="7" t="inlineStr">
        <is>
          <t>斜坡坡烧烤</t>
        </is>
      </c>
      <c r="C69" s="7" t="inlineStr"/>
      <c r="D69" s="4" t="n">
        <v>114</v>
      </c>
      <c r="E69" s="4" t="n">
        <v>161</v>
      </c>
      <c r="F69" s="4" t="n">
        <v>141.23</v>
      </c>
      <c r="G69" s="4" t="n">
        <v>70</v>
      </c>
      <c r="H69" s="4" t="inlineStr">
        <is>
          <t>否</t>
        </is>
      </c>
      <c r="I69" s="7" t="inlineStr">
        <is>
          <t>其他</t>
        </is>
      </c>
    </row>
    <row r="70">
      <c r="A70" s="4" t="n">
        <v>69</v>
      </c>
      <c r="B70" s="7" t="inlineStr">
        <is>
          <t>一叶知秋</t>
        </is>
      </c>
      <c r="C70" s="7" t="inlineStr">
        <is>
          <t>坦桑尼亚华人交流群。#坦桑尼亚 #坦桑尼亚旅游 #达累斯萨拉姆 #坦桑尼亚桑给巴尔岛 #坦桑石</t>
        </is>
      </c>
      <c r="D70" s="4" t="n">
        <v>10</v>
      </c>
      <c r="E70" s="4" t="n">
        <v>14</v>
      </c>
      <c r="F70" s="4" t="n">
        <v>140</v>
      </c>
      <c r="G70" s="4" t="n">
        <v>0</v>
      </c>
      <c r="H70" s="4" t="inlineStr">
        <is>
          <t>否</t>
        </is>
      </c>
      <c r="I70" s="7" t="inlineStr">
        <is>
          <t>其他</t>
        </is>
      </c>
    </row>
    <row r="71">
      <c r="A71" s="4" t="n">
        <v>70</v>
      </c>
      <c r="B71" s="7" t="inlineStr">
        <is>
          <t>青海的姑舅</t>
        </is>
      </c>
      <c r="C71" s="7" t="inlineStr">
        <is>
          <t>莫桑比克为什么来西宁#莫桑比克 #非洲 #青海 #访问</t>
        </is>
      </c>
      <c r="D71" s="4" t="n">
        <v>161</v>
      </c>
      <c r="E71" s="4" t="n">
        <v>221</v>
      </c>
      <c r="F71" s="4" t="n">
        <v>137.27</v>
      </c>
      <c r="G71" s="4" t="n">
        <v>89</v>
      </c>
      <c r="H71" s="4" t="inlineStr">
        <is>
          <t>否</t>
        </is>
      </c>
      <c r="I71" s="7" t="inlineStr">
        <is>
          <t>观点口播</t>
        </is>
      </c>
    </row>
    <row r="72">
      <c r="A72" s="4" t="n">
        <v>71</v>
      </c>
      <c r="B72" s="7" t="inlineStr">
        <is>
          <t>哆啦A梦～</t>
        </is>
      </c>
      <c r="C72" s="7" t="inlineStr">
        <is>
          <t>#经济发展 #人口数据对比 #人口排名</t>
        </is>
      </c>
      <c r="D72" s="4" t="n">
        <v>2726</v>
      </c>
      <c r="E72" s="4" t="n">
        <v>3657</v>
      </c>
      <c r="F72" s="4" t="n">
        <v>134.15</v>
      </c>
      <c r="G72" s="4" t="n">
        <v>602</v>
      </c>
      <c r="H72" s="4" t="inlineStr">
        <is>
          <t>否</t>
        </is>
      </c>
      <c r="I72" s="7" t="inlineStr">
        <is>
          <t>其他</t>
        </is>
      </c>
    </row>
    <row r="73">
      <c r="A73" s="4" t="n">
        <v>72</v>
      </c>
      <c r="B73" s="7" t="inlineStr">
        <is>
          <t>乐观的胖子</t>
        </is>
      </c>
      <c r="C73" s="7" t="inlineStr">
        <is>
          <t>#世界杯#荷兰队#阿尔及利亚</t>
        </is>
      </c>
      <c r="D73" s="4" t="n">
        <v>9</v>
      </c>
      <c r="E73" s="4" t="n">
        <v>12</v>
      </c>
      <c r="F73" s="4" t="n">
        <v>133.33</v>
      </c>
      <c r="G73" s="4" t="n">
        <v>0</v>
      </c>
      <c r="H73" s="4" t="inlineStr">
        <is>
          <t>否</t>
        </is>
      </c>
      <c r="I73" s="7" t="inlineStr">
        <is>
          <t>其他</t>
        </is>
      </c>
    </row>
    <row r="74">
      <c r="A74" s="4" t="n">
        <v>73</v>
      </c>
      <c r="B74" s="7" t="inlineStr">
        <is>
          <t>全世界华人群（进群看主页）</t>
        </is>
      </c>
      <c r="C74" s="7" t="inlineStr">
        <is>
          <t>阿尔及利亚赚钱  华人交流群。#阿尔及利亚#非洲#阿尔及利亚华人#阿尔及利亚生活#阿尔及利亚微信</t>
        </is>
      </c>
      <c r="D74" s="4" t="n">
        <v>6</v>
      </c>
      <c r="E74" s="4" t="n">
        <v>8</v>
      </c>
      <c r="F74" s="4" t="n">
        <v>133.33</v>
      </c>
      <c r="G74" s="4" t="n">
        <v>1</v>
      </c>
      <c r="H74" s="4" t="inlineStr">
        <is>
          <t>否</t>
        </is>
      </c>
      <c r="I74" s="7" t="inlineStr">
        <is>
          <t>故事Vlog</t>
        </is>
      </c>
    </row>
    <row r="75">
      <c r="A75" s="4" t="n">
        <v>74</v>
      </c>
      <c r="B75" s="7" t="inlineStr">
        <is>
          <t>小陈想去东非</t>
        </is>
      </c>
      <c r="C75" s="7" t="inlineStr">
        <is>
          <t>来点懂行的 #肯尼亚</t>
        </is>
      </c>
      <c r="D75" s="4" t="n">
        <v>3</v>
      </c>
      <c r="E75" s="4" t="n">
        <v>4</v>
      </c>
      <c r="F75" s="4" t="n">
        <v>133.33</v>
      </c>
      <c r="G75" s="4" t="n">
        <v>0</v>
      </c>
      <c r="H75" s="4" t="inlineStr">
        <is>
          <t>否</t>
        </is>
      </c>
      <c r="I75" s="7" t="inlineStr">
        <is>
          <t>其他</t>
        </is>
      </c>
    </row>
    <row r="76">
      <c r="A76" s="4" t="n">
        <v>75</v>
      </c>
      <c r="B76" s="7" t="inlineStr">
        <is>
          <t>欢欢(在你世界丶微笑)</t>
        </is>
      </c>
      <c r="C76" s="7" t="inlineStr">
        <is>
          <t>2026美加墨世界杯正赛开打前有两大“黑马”：一是挪威🇳🇴，另一个估计很多人没想到——非洲劲旅科特迪</t>
        </is>
      </c>
      <c r="D76" s="4" t="n">
        <v>57</v>
      </c>
      <c r="E76" s="4" t="n">
        <v>75</v>
      </c>
      <c r="F76" s="4" t="n">
        <v>131.58</v>
      </c>
      <c r="G76" s="4" t="n">
        <v>22</v>
      </c>
      <c r="H76" s="4" t="inlineStr">
        <is>
          <t>否</t>
        </is>
      </c>
      <c r="I76" s="7" t="inlineStr">
        <is>
          <t>其他</t>
        </is>
      </c>
    </row>
    <row r="77">
      <c r="A77" s="4" t="n">
        <v>76</v>
      </c>
      <c r="B77" s="7" t="inlineStr">
        <is>
          <t>武汉黄景瑜</t>
        </is>
      </c>
      <c r="C77" s="7" t="inlineStr">
        <is>
          <t>葡萄牙VS瑞士，C罗难以王者归来#知识分享 #创业 #认知 #卡塔尔世界杯 #热点</t>
        </is>
      </c>
      <c r="D77" s="4" t="n">
        <v>377</v>
      </c>
      <c r="E77" s="4" t="n">
        <v>494</v>
      </c>
      <c r="F77" s="4" t="n">
        <v>131.03</v>
      </c>
      <c r="G77" s="4" t="n">
        <v>21</v>
      </c>
      <c r="H77" s="4" t="inlineStr">
        <is>
          <t>否</t>
        </is>
      </c>
      <c r="I77" s="7" t="inlineStr">
        <is>
          <t>其他</t>
        </is>
      </c>
    </row>
    <row r="78">
      <c r="A78" s="4" t="n">
        <v>77</v>
      </c>
      <c r="B78" s="7" t="inlineStr">
        <is>
          <t>玮宸震</t>
        </is>
      </c>
      <c r="C78" s="7" t="inlineStr">
        <is>
          <t>阿根廷首战危险了，阿尔及利亚1:0战胜荷兰#荷兰队 #荷兰 #阿尔及利亚 #阿根廷简介 #非洲阿尔及</t>
        </is>
      </c>
      <c r="D78" s="4" t="n">
        <v>88</v>
      </c>
      <c r="E78" s="4" t="n">
        <v>115</v>
      </c>
      <c r="F78" s="4" t="n">
        <v>130.68</v>
      </c>
      <c r="G78" s="4" t="n">
        <v>12</v>
      </c>
      <c r="H78" s="4" t="inlineStr">
        <is>
          <t>否</t>
        </is>
      </c>
      <c r="I78" s="7" t="inlineStr">
        <is>
          <t>其他</t>
        </is>
      </c>
    </row>
    <row r="79">
      <c r="A79" s="4" t="n">
        <v>78</v>
      </c>
      <c r="B79" s="7" t="inlineStr">
        <is>
          <t>玮宸震</t>
        </is>
      </c>
      <c r="C79" s="7" t="inlineStr">
        <is>
          <t>阿根廷首战危险了，阿尔及利亚1:0战胜荷兰#荷兰队 #荷兰 #阿尔及利亚 #阿根廷简介 #非洲阿尔及</t>
        </is>
      </c>
      <c r="D79" s="4" t="n">
        <v>88</v>
      </c>
      <c r="E79" s="4" t="n">
        <v>115</v>
      </c>
      <c r="F79" s="4" t="n">
        <v>130.68</v>
      </c>
      <c r="G79" s="4" t="n">
        <v>12</v>
      </c>
      <c r="H79" s="4" t="inlineStr">
        <is>
          <t>否</t>
        </is>
      </c>
      <c r="I79" s="7" t="inlineStr">
        <is>
          <t>其他</t>
        </is>
      </c>
    </row>
    <row r="80">
      <c r="A80" s="4" t="n">
        <v>79</v>
      </c>
      <c r="B80" s="7" t="inlineStr">
        <is>
          <t>广州优想国际旅行社</t>
        </is>
      </c>
      <c r="C80" s="7" t="inlineStr">
        <is>
          <t>非洲的都有，满了加我拉。都有，免费，只为拓展人脉，客户#布基纳法索 #多哥 #加纳 #喀麦隆 #科特</t>
        </is>
      </c>
      <c r="D80" s="4" t="n">
        <v>60</v>
      </c>
      <c r="E80" s="4" t="n">
        <v>78</v>
      </c>
      <c r="F80" s="4" t="n">
        <v>130</v>
      </c>
      <c r="G80" s="4" t="n">
        <v>64</v>
      </c>
      <c r="H80" s="4" t="inlineStr">
        <is>
          <t>否</t>
        </is>
      </c>
      <c r="I80" s="7" t="inlineStr">
        <is>
          <t>其他</t>
        </is>
      </c>
    </row>
    <row r="81">
      <c r="A81" s="4" t="n">
        <v>80</v>
      </c>
      <c r="B81" s="7" t="inlineStr">
        <is>
          <t>广州优想国际旅行社</t>
        </is>
      </c>
      <c r="C81" s="7" t="inlineStr">
        <is>
          <t>非洲的都有，满了加我拉。都有，免费，只为拓展人脉，客户#布基纳法索 #多哥 #加纳 #喀麦隆 #科特</t>
        </is>
      </c>
      <c r="D81" s="4" t="n">
        <v>60</v>
      </c>
      <c r="E81" s="4" t="n">
        <v>78</v>
      </c>
      <c r="F81" s="4" t="n">
        <v>130</v>
      </c>
      <c r="G81" s="4" t="n">
        <v>64</v>
      </c>
      <c r="H81" s="4" t="inlineStr">
        <is>
          <t>否</t>
        </is>
      </c>
      <c r="I81" s="7" t="inlineStr">
        <is>
          <t>其他</t>
        </is>
      </c>
    </row>
    <row r="82">
      <c r="A82" s="4" t="n">
        <v>81</v>
      </c>
      <c r="B82" s="7" t="inlineStr">
        <is>
          <t>广州优想国际旅行社</t>
        </is>
      </c>
      <c r="C82" s="7" t="inlineStr">
        <is>
          <t>非洲的都有，满了加我拉。都有，免费，只为拓展人脉，客户#布基纳法索 #多哥 #加纳 #喀麦隆 #科特</t>
        </is>
      </c>
      <c r="D82" s="4" t="n">
        <v>60</v>
      </c>
      <c r="E82" s="4" t="n">
        <v>78</v>
      </c>
      <c r="F82" s="4" t="n">
        <v>130</v>
      </c>
      <c r="G82" s="4" t="n">
        <v>64</v>
      </c>
      <c r="H82" s="4" t="inlineStr">
        <is>
          <t>否</t>
        </is>
      </c>
      <c r="I82" s="7" t="inlineStr">
        <is>
          <t>其他</t>
        </is>
      </c>
    </row>
    <row r="83">
      <c r="A83" s="4" t="n">
        <v>82</v>
      </c>
      <c r="B83" s="7" t="inlineStr">
        <is>
          <t>广州优想国际旅行社</t>
        </is>
      </c>
      <c r="C83" s="7" t="inlineStr">
        <is>
          <t>非洲的都有，满了加我拉。都有，免费，只为拓展人脉，客户#布基纳法索 #多哥 #加纳 #喀麦隆 #科特</t>
        </is>
      </c>
      <c r="D83" s="4" t="n">
        <v>60</v>
      </c>
      <c r="E83" s="4" t="n">
        <v>78</v>
      </c>
      <c r="F83" s="4" t="n">
        <v>130</v>
      </c>
      <c r="G83" s="4" t="n">
        <v>64</v>
      </c>
      <c r="H83" s="4" t="inlineStr">
        <is>
          <t>否</t>
        </is>
      </c>
      <c r="I83" s="7" t="inlineStr">
        <is>
          <t>其他</t>
        </is>
      </c>
    </row>
    <row r="84">
      <c r="A84" s="4" t="n">
        <v>83</v>
      </c>
      <c r="B84" s="7" t="inlineStr">
        <is>
          <t>欢欢(在你世界丶微笑)</t>
        </is>
      </c>
      <c r="C84" s="7" t="inlineStr">
        <is>
          <t>2026美加墨世界杯正赛开打前有两大“黑马”：一是挪威🇳🇴，另一个估计很多人没想到——非洲劲旅科特迪</t>
        </is>
      </c>
      <c r="D84" s="4" t="n">
        <v>57</v>
      </c>
      <c r="E84" s="4" t="n">
        <v>74</v>
      </c>
      <c r="F84" s="4" t="n">
        <v>129.82</v>
      </c>
      <c r="G84" s="4" t="n">
        <v>21</v>
      </c>
      <c r="H84" s="4" t="inlineStr">
        <is>
          <t>否</t>
        </is>
      </c>
      <c r="I84" s="7" t="inlineStr">
        <is>
          <t>其他</t>
        </is>
      </c>
    </row>
    <row r="85">
      <c r="A85" s="4" t="n">
        <v>84</v>
      </c>
      <c r="B85" s="7" t="inlineStr">
        <is>
          <t>利哥在非洲乌干达</t>
        </is>
      </c>
      <c r="C85" s="7" t="inlineStr">
        <is>
          <t>非洲华人超市一年能赚多少，看看这样的超市你感觉怎么样#非洲 #乌干达 #中国超市 #国外物价 #非洲</t>
        </is>
      </c>
      <c r="D85" s="4" t="n">
        <v>785</v>
      </c>
      <c r="E85" s="4" t="n">
        <v>1018</v>
      </c>
      <c r="F85" s="4" t="n">
        <v>129.68</v>
      </c>
      <c r="G85" s="4" t="n">
        <v>51</v>
      </c>
      <c r="H85" s="4" t="inlineStr">
        <is>
          <t>否</t>
        </is>
      </c>
      <c r="I85" s="7" t="inlineStr">
        <is>
          <t>干货知识</t>
        </is>
      </c>
    </row>
    <row r="86">
      <c r="A86" s="4" t="n">
        <v>85</v>
      </c>
      <c r="B86" s="7" t="inlineStr">
        <is>
          <t>阿尔及利亚蓝田荟</t>
        </is>
      </c>
      <c r="C86" s="7" t="inlineStr">
        <is>
          <t>阿尔及利亚华人群。这里是阿尔及利亚华人的温暖港湾，无论你身在哪个角落，我们因共同的根和情而相聚。在这</t>
        </is>
      </c>
      <c r="D86" s="4" t="n">
        <v>55</v>
      </c>
      <c r="E86" s="4" t="n">
        <v>71</v>
      </c>
      <c r="F86" s="4" t="n">
        <v>129.09</v>
      </c>
      <c r="G86" s="4" t="n">
        <v>66</v>
      </c>
      <c r="H86" s="4" t="inlineStr">
        <is>
          <t>否</t>
        </is>
      </c>
      <c r="I86" s="7" t="inlineStr">
        <is>
          <t>故事Vlog</t>
        </is>
      </c>
    </row>
    <row r="87">
      <c r="A87" s="4" t="n">
        <v>86</v>
      </c>
      <c r="B87" s="7" t="inlineStr">
        <is>
          <t>丹丹</t>
        </is>
      </c>
      <c r="C87" s="7" t="inlineStr">
        <is>
          <t>#这不可能绝对不可能 #昨天🈶多少人中招的😂😂😂</t>
        </is>
      </c>
      <c r="D87" s="4" t="n">
        <v>144</v>
      </c>
      <c r="E87" s="4" t="n">
        <v>182</v>
      </c>
      <c r="F87" s="4" t="n">
        <v>126.39</v>
      </c>
      <c r="G87" s="4" t="n">
        <v>91</v>
      </c>
      <c r="H87" s="4" t="inlineStr">
        <is>
          <t>否</t>
        </is>
      </c>
      <c r="I87" s="7" t="inlineStr">
        <is>
          <t>其他</t>
        </is>
      </c>
    </row>
    <row r="88">
      <c r="A88" s="4" t="n">
        <v>87</v>
      </c>
      <c r="B88" s="7" t="inlineStr">
        <is>
          <t>丹丹</t>
        </is>
      </c>
      <c r="C88" s="7" t="inlineStr">
        <is>
          <t>#这不可能绝对不可能 #昨天🈶多少人中招的😂😂😂</t>
        </is>
      </c>
      <c r="D88" s="4" t="n">
        <v>144</v>
      </c>
      <c r="E88" s="4" t="n">
        <v>182</v>
      </c>
      <c r="F88" s="4" t="n">
        <v>126.39</v>
      </c>
      <c r="G88" s="4" t="n">
        <v>91</v>
      </c>
      <c r="H88" s="4" t="inlineStr">
        <is>
          <t>否</t>
        </is>
      </c>
      <c r="I88" s="7" t="inlineStr">
        <is>
          <t>其他</t>
        </is>
      </c>
    </row>
    <row r="89">
      <c r="A89" s="4" t="n">
        <v>88</v>
      </c>
      <c r="B89" s="7" t="inlineStr">
        <is>
          <t>🍊陈心如意🍊</t>
        </is>
      </c>
      <c r="C89" s="7" t="inlineStr">
        <is>
          <t>重生之我在埃及当地接...哈喽，大家好呀~
我们是在埃及开了一家华人旅社（合伙的，不然开不起来），陆</t>
        </is>
      </c>
      <c r="D89" s="4" t="n">
        <v>23</v>
      </c>
      <c r="E89" s="4" t="n">
        <v>29</v>
      </c>
      <c r="F89" s="4" t="n">
        <v>126.09</v>
      </c>
      <c r="G89" s="4" t="n">
        <v>6</v>
      </c>
      <c r="H89" s="4" t="inlineStr">
        <is>
          <t>否</t>
        </is>
      </c>
      <c r="I89" s="7" t="inlineStr">
        <is>
          <t>故事Vlog</t>
        </is>
      </c>
    </row>
    <row r="90">
      <c r="A90" s="4" t="n">
        <v>89</v>
      </c>
      <c r="B90" s="7" t="inlineStr">
        <is>
          <t>🌈小彭</t>
        </is>
      </c>
      <c r="C90" s="7" t="inlineStr">
        <is>
          <t>锋无力。#世界杯#实体店#2026世界杯预选赛 #最被高估的球员</t>
        </is>
      </c>
      <c r="D90" s="4" t="n">
        <v>39</v>
      </c>
      <c r="E90" s="4" t="n">
        <v>49</v>
      </c>
      <c r="F90" s="4" t="n">
        <v>125.64</v>
      </c>
      <c r="G90" s="4" t="n">
        <v>31</v>
      </c>
      <c r="H90" s="4" t="inlineStr">
        <is>
          <t>否</t>
        </is>
      </c>
      <c r="I90" s="7" t="inlineStr">
        <is>
          <t>其他</t>
        </is>
      </c>
    </row>
    <row r="91">
      <c r="A91" s="4" t="n">
        <v>90</v>
      </c>
      <c r="B91" s="7" t="inlineStr">
        <is>
          <t>在非洲做牛肉丸</t>
        </is>
      </c>
      <c r="C91" s="7" t="inlineStr">
        <is>
          <t>安哥拉电费和人工都很便宜，有关系，很多项目可以做。</t>
        </is>
      </c>
      <c r="D91" s="4" t="n">
        <v>8</v>
      </c>
      <c r="E91" s="4" t="n">
        <v>10</v>
      </c>
      <c r="F91" s="4" t="n">
        <v>125</v>
      </c>
      <c r="G91" s="4" t="n">
        <v>0</v>
      </c>
      <c r="H91" s="4" t="inlineStr">
        <is>
          <t>否</t>
        </is>
      </c>
      <c r="I91" s="7" t="inlineStr">
        <is>
          <t>其他</t>
        </is>
      </c>
    </row>
    <row r="92">
      <c r="A92" s="4" t="n">
        <v>91</v>
      </c>
      <c r="B92" s="7" t="inlineStr">
        <is>
          <t>德扬加纳🇬🇭托包供应链</t>
        </is>
      </c>
      <c r="C92" s="7" t="inlineStr">
        <is>
          <t>加纳🇬🇭的中国人们看看需要吗。下周到加纳🇬🇭能带一个行李箱和寄一个30公斤的托包。可以帮带日常用品，</t>
        </is>
      </c>
      <c r="D92" s="4" t="n">
        <v>4</v>
      </c>
      <c r="E92" s="4" t="n">
        <v>5</v>
      </c>
      <c r="F92" s="4" t="n">
        <v>125</v>
      </c>
      <c r="G92" s="4" t="n">
        <v>0</v>
      </c>
      <c r="H92" s="4" t="inlineStr">
        <is>
          <t>否</t>
        </is>
      </c>
      <c r="I92" s="7" t="inlineStr">
        <is>
          <t>故事Vlog</t>
        </is>
      </c>
    </row>
    <row r="93">
      <c r="A93" s="4" t="n">
        <v>92</v>
      </c>
      <c r="B93" s="7" t="inlineStr">
        <is>
          <t>低调低调A</t>
        </is>
      </c>
      <c r="C93" s="7" t="inlineStr">
        <is>
          <t>伤心伤神</t>
        </is>
      </c>
      <c r="D93" s="4" t="n">
        <v>152</v>
      </c>
      <c r="E93" s="4" t="n">
        <v>188</v>
      </c>
      <c r="F93" s="4" t="n">
        <v>123.68</v>
      </c>
      <c r="G93" s="4" t="n">
        <v>691</v>
      </c>
      <c r="H93" s="4" t="inlineStr">
        <is>
          <t>否</t>
        </is>
      </c>
      <c r="I93" s="7" t="inlineStr">
        <is>
          <t>其他</t>
        </is>
      </c>
    </row>
    <row r="94">
      <c r="A94" s="4" t="n">
        <v>93</v>
      </c>
      <c r="B94" s="7" t="inlineStr">
        <is>
          <t>低调低调A</t>
        </is>
      </c>
      <c r="C94" s="7" t="inlineStr">
        <is>
          <t>伤心伤神</t>
        </is>
      </c>
      <c r="D94" s="4" t="n">
        <v>152</v>
      </c>
      <c r="E94" s="4" t="n">
        <v>188</v>
      </c>
      <c r="F94" s="4" t="n">
        <v>123.68</v>
      </c>
      <c r="G94" s="4" t="n">
        <v>691</v>
      </c>
      <c r="H94" s="4" t="inlineStr">
        <is>
          <t>否</t>
        </is>
      </c>
      <c r="I94" s="7" t="inlineStr">
        <is>
          <t>其他</t>
        </is>
      </c>
    </row>
    <row r="95">
      <c r="A95" s="4" t="n">
        <v>94</v>
      </c>
      <c r="B95" s="7" t="inlineStr">
        <is>
          <t>大唐经理</t>
        </is>
      </c>
      <c r="C95" s="7" t="inlineStr">
        <is>
          <t>由于阿尔及利亚地区没有抖音运营，所以无法私信、评论、直播间扣字，火花断了我也没法续，需要联系的直接甩</t>
        </is>
      </c>
      <c r="D95" s="4" t="n">
        <v>9</v>
      </c>
      <c r="E95" s="4" t="n">
        <v>11</v>
      </c>
      <c r="F95" s="4" t="n">
        <v>122.22</v>
      </c>
      <c r="G95" s="4" t="n">
        <v>0</v>
      </c>
      <c r="H95" s="4" t="inlineStr">
        <is>
          <t>否</t>
        </is>
      </c>
      <c r="I95" s="7" t="inlineStr">
        <is>
          <t>其他</t>
        </is>
      </c>
    </row>
    <row r="96">
      <c r="A96" s="4" t="n">
        <v>95</v>
      </c>
      <c r="B96" s="7" t="inlineStr">
        <is>
          <t>红火白烟🚬</t>
        </is>
      </c>
      <c r="C96" s="7" t="inlineStr">
        <is>
          <t>我评论了@狂揽球坛 的作品：
冠军可以买阿尔及利亚吗</t>
        </is>
      </c>
      <c r="D96" s="4" t="n">
        <v>9</v>
      </c>
      <c r="E96" s="4" t="n">
        <v>11</v>
      </c>
      <c r="F96" s="4" t="n">
        <v>122.22</v>
      </c>
      <c r="G96" s="4" t="n">
        <v>0</v>
      </c>
      <c r="H96" s="4" t="inlineStr">
        <is>
          <t>否</t>
        </is>
      </c>
      <c r="I96" s="7" t="inlineStr">
        <is>
          <t>其他</t>
        </is>
      </c>
    </row>
    <row r="97">
      <c r="A97" s="4" t="n">
        <v>96</v>
      </c>
      <c r="B97" s="7" t="inlineStr">
        <is>
          <t>方永飞商业导师</t>
        </is>
      </c>
      <c r="C97" s="7" t="inlineStr">
        <is>
          <t xml:space="preserve">特斯拉的马斯克究竟有多可怕!#商业 #创业 #认知 #马斯克 </t>
        </is>
      </c>
      <c r="D97" s="4" t="n">
        <v>669</v>
      </c>
      <c r="E97" s="4" t="n">
        <v>779</v>
      </c>
      <c r="F97" s="4" t="n">
        <v>116.44</v>
      </c>
      <c r="G97" s="4" t="n">
        <v>151</v>
      </c>
      <c r="H97" s="4" t="inlineStr">
        <is>
          <t>否</t>
        </is>
      </c>
      <c r="I97" s="7" t="inlineStr">
        <is>
          <t>其他</t>
        </is>
      </c>
    </row>
    <row r="98">
      <c r="A98" s="4" t="n">
        <v>97</v>
      </c>
      <c r="B98" s="7" t="inlineStr">
        <is>
          <t>河南门窗人在刚果金</t>
        </is>
      </c>
      <c r="C98" s="7" t="inlineStr">
        <is>
          <t>#我要上热门话题🔥🔥 #商机无处不在 #这才是年轻人看得懂的物价 最新商机埃塞俄比亚机场开个烩面馆</t>
        </is>
      </c>
      <c r="D98" s="4" t="n">
        <v>7</v>
      </c>
      <c r="E98" s="4" t="n">
        <v>8</v>
      </c>
      <c r="F98" s="4" t="n">
        <v>114.29</v>
      </c>
      <c r="G98" s="4" t="n">
        <v>3</v>
      </c>
      <c r="H98" s="4" t="inlineStr">
        <is>
          <t>否</t>
        </is>
      </c>
      <c r="I98" s="7" t="inlineStr">
        <is>
          <t>新闻资讯</t>
        </is>
      </c>
    </row>
    <row r="99">
      <c r="A99" s="4" t="n">
        <v>98</v>
      </c>
      <c r="B99" s="7" t="inlineStr">
        <is>
          <t>河南门窗人在刚果金</t>
        </is>
      </c>
      <c r="C99" s="7" t="inlineStr">
        <is>
          <t>#我要上热门话题🔥🔥 #商机无处不在 #这才是年轻人看得懂的物价 最新商机埃塞俄比亚机场开个烩面馆</t>
        </is>
      </c>
      <c r="D99" s="4" t="n">
        <v>7</v>
      </c>
      <c r="E99" s="4" t="n">
        <v>8</v>
      </c>
      <c r="F99" s="4" t="n">
        <v>114.29</v>
      </c>
      <c r="G99" s="4" t="n">
        <v>3</v>
      </c>
      <c r="H99" s="4" t="inlineStr">
        <is>
          <t>否</t>
        </is>
      </c>
      <c r="I99" s="7" t="inlineStr">
        <is>
          <t>新闻资讯</t>
        </is>
      </c>
    </row>
    <row r="100">
      <c r="A100" s="4" t="n">
        <v>99</v>
      </c>
      <c r="B100" s="7" t="inlineStr">
        <is>
          <t>生态文明万里行</t>
        </is>
      </c>
      <c r="C100" s="7" t="inlineStr">
        <is>
          <t>#海外华人#中国驻刚果（金）使馆史宇立公参莅临刚果（金）华人华侨商会#中非合作#生态文明@DOU+小</t>
        </is>
      </c>
      <c r="D100" s="4" t="n">
        <v>7</v>
      </c>
      <c r="E100" s="4" t="n">
        <v>8</v>
      </c>
      <c r="F100" s="4" t="n">
        <v>114.29</v>
      </c>
      <c r="G100" s="4" t="n">
        <v>1</v>
      </c>
      <c r="H100" s="4" t="inlineStr">
        <is>
          <t>否</t>
        </is>
      </c>
      <c r="I100" s="7" t="inlineStr">
        <is>
          <t>其他</t>
        </is>
      </c>
    </row>
    <row r="101">
      <c r="A101" s="4" t="n">
        <v>100</v>
      </c>
      <c r="B101" s="7" t="inlineStr">
        <is>
          <t>外面的世界</t>
        </is>
      </c>
      <c r="C101" s="7" t="inlineStr">
        <is>
          <t>20年之后中国人口多少？#年份对照表</t>
        </is>
      </c>
      <c r="D101" s="4" t="n">
        <v>41</v>
      </c>
      <c r="E101" s="4" t="n">
        <v>46</v>
      </c>
      <c r="F101" s="4" t="n">
        <v>112.2</v>
      </c>
      <c r="G101" s="4" t="n">
        <v>3</v>
      </c>
      <c r="H101" s="4" t="inlineStr">
        <is>
          <t>否</t>
        </is>
      </c>
      <c r="I101" s="7" t="inlineStr">
        <is>
          <t>其他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维度</t>
        </is>
      </c>
      <c r="B1" s="1" t="inlineStr">
        <is>
          <t>结论与建议</t>
        </is>
      </c>
    </row>
    <row r="2" ht="30" customHeight="1">
      <c r="A2" s="8" t="inlineStr">
        <is>
          <t>数据规模</t>
        </is>
      </c>
      <c r="B2" s="7" t="inlineStr">
        <is>
          <t>共分析 4898 条视频，2412 位作者，爆款定义为 TOP 10%（489条）</t>
        </is>
      </c>
    </row>
    <row r="3" ht="15" customHeight="1">
      <c r="A3" s="8" t="inlineStr"/>
      <c r="B3" s="7" t="inlineStr"/>
    </row>
    <row r="4" ht="30" customHeight="1">
      <c r="A4" s="9">
        <f>== 相关性发现 ===</f>
        <v/>
      </c>
      <c r="B4" s="7" t="inlineStr"/>
    </row>
    <row r="5" ht="30" customHeight="1">
      <c r="A5" s="8" t="inlineStr">
        <is>
          <t>互动得分与点赞数</t>
        </is>
      </c>
      <c r="B5" s="7" t="inlineStr">
        <is>
          <t>相关系数待计算（见相关性矩阵Sheet）</t>
        </is>
      </c>
    </row>
    <row r="6" ht="30" customHeight="1">
      <c r="A6" s="8" t="inlineStr">
        <is>
          <t>标题长度与互动</t>
        </is>
      </c>
      <c r="B6" s="7" t="inlineStr">
        <is>
          <t>最佳区间待确认（见标题长度Sheet）</t>
        </is>
      </c>
    </row>
    <row r="7" ht="30" customHeight="1">
      <c r="A7" s="8" t="inlineStr">
        <is>
          <t>标签数量与互动</t>
        </is>
      </c>
      <c r="B7" s="7" t="inlineStr">
        <is>
          <t>最佳数量待确认</t>
        </is>
      </c>
    </row>
    <row r="8" ht="15" customHeight="1">
      <c r="A8" s="8" t="inlineStr"/>
      <c r="B8" s="7" t="inlineStr"/>
    </row>
    <row r="9" ht="30" customHeight="1">
      <c r="A9" s="9">
        <f>== 标题钩子发现 ===</f>
        <v/>
      </c>
      <c r="B9" s="7" t="inlineStr"/>
    </row>
    <row r="10" ht="30" customHeight="1">
      <c r="A10" s="8" t="inlineStr">
        <is>
          <t>评论数 vs 互动得分</t>
        </is>
      </c>
      <c r="B10" s="7" t="inlineStr">
        <is>
          <t>Spearman相关系数 = 0.849（越强说明评论价值越高）</t>
        </is>
      </c>
    </row>
    <row r="11" ht="30" customHeight="1">
      <c r="A11" s="8" t="inlineStr">
        <is>
          <t>分享数 vs 互动得分</t>
        </is>
      </c>
      <c r="B11" s="7" t="inlineStr">
        <is>
          <t>Spearman相关系数 = 0.882</t>
        </is>
      </c>
    </row>
    <row r="12" ht="30" customHeight="1">
      <c r="A12" s="8" t="inlineStr">
        <is>
          <t>标签数量 vs 互动得分</t>
        </is>
      </c>
      <c r="B12" s="7" t="inlineStr">
        <is>
          <t>Spearman相关系数 = -0.08</t>
        </is>
      </c>
    </row>
    <row r="13" ht="30" customHeight="1">
      <c r="A13" s="8" t="inlineStr">
        <is>
          <t>标题长度 vs 互动得分</t>
        </is>
      </c>
      <c r="B13" s="7" t="inlineStr">
        <is>
          <t>Spearman相关系数 = -0.135</t>
        </is>
      </c>
    </row>
    <row r="14" ht="30" customHeight="1">
      <c r="A14" s="8" t="inlineStr">
        <is>
          <t>视频时长 vs 互动得分</t>
        </is>
      </c>
      <c r="B14" s="7" t="inlineStr">
        <is>
          <t>Spearman相关系数 = 0.273</t>
        </is>
      </c>
    </row>
    <row r="15" ht="15" customHeight="1">
      <c r="A15" s="8" t="inlineStr"/>
      <c r="B15" s="7" t="inlineStr"/>
    </row>
    <row r="16" ht="30" customHeight="1">
      <c r="A16" s="9">
        <f>== 最强标题钩子 ===</f>
        <v/>
      </c>
      <c r="B16" s="7" t="inlineStr"/>
    </row>
    <row r="17" ht="30" customHeight="1">
      <c r="A17" s="8" t="inlineStr">
        <is>
          <t>钩子: 对比反差</t>
        </is>
      </c>
      <c r="B17" s="7" t="inlineStr">
        <is>
          <t>爆款率 15.2%，出现 349 次</t>
        </is>
      </c>
    </row>
    <row r="18" ht="30" customHeight="1">
      <c r="A18" s="8" t="inlineStr">
        <is>
          <t>钩子: 稀缺独家</t>
        </is>
      </c>
      <c r="B18" s="7" t="inlineStr">
        <is>
          <t>爆款率 11.1%，出现 144 次</t>
        </is>
      </c>
    </row>
    <row r="19" ht="30" customHeight="1">
      <c r="A19" s="8" t="inlineStr">
        <is>
          <t>钩子: 数字罗列</t>
        </is>
      </c>
      <c r="B19" s="7" t="inlineStr">
        <is>
          <t>爆款率 10.1%，出现 572 次</t>
        </is>
      </c>
    </row>
    <row r="20" ht="15" customHeight="1">
      <c r="A20" s="8" t="inlineStr"/>
      <c r="B20" s="7" t="inlineStr"/>
    </row>
    <row r="21" ht="30" customHeight="1">
      <c r="A21" s="9">
        <f>== 最佳发布日 ===</f>
        <v/>
      </c>
      <c r="B21" s="7" t="inlineStr">
        <is>
          <t>周六（爆款率 16.3%）</t>
        </is>
      </c>
    </row>
    <row r="22" ht="30" customHeight="1">
      <c r="A22" s="9">
        <f>== 最佳发布时段 ===</f>
        <v/>
      </c>
      <c r="B22" s="7" t="inlineStr">
        <is>
          <t>傍晚 16-20点</t>
        </is>
      </c>
    </row>
    <row r="23" ht="15" customHeight="1">
      <c r="A23" s="8" t="inlineStr"/>
      <c r="B23" s="7" t="inlineStr"/>
    </row>
    <row r="24" ht="30" customHeight="1">
      <c r="A24" s="9">
        <f>== 作者持续性 ===</f>
        <v/>
      </c>
      <c r="B24" s="7" t="inlineStr">
        <is>
          <t>有 84 位作者产出过 2+ 条爆款（持续爆款作者）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2026-06-05T06:48:02Z</dcterms:created>
  <dcterms:modified xsi:type="dcterms:W3CDTF">2026-06-05T06:48:03Z</dcterms:modified>
</cp:coreProperties>
</file>